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h39075\Documents\edf_rd\C_code\cigre-dttmbp\main\tts\TTSa\"/>
    </mc:Choice>
  </mc:AlternateContent>
  <xr:revisionPtr revIDLastSave="0" documentId="13_ncr:1_{C063853E-CD4E-473F-AD3B-0DB4A49DE64D}" xr6:coauthVersionLast="47" xr6:coauthVersionMax="47" xr10:uidLastSave="{00000000-0000-0000-0000-000000000000}"/>
  <bookViews>
    <workbookView xWindow="28680" yWindow="-16440" windowWidth="29040" windowHeight="15720" activeTab="2" xr2:uid="{00000000-000D-0000-FFFF-FFFF00000000}"/>
  </bookViews>
  <sheets>
    <sheet name="About DTTM-BP" sheetId="5" r:id="rId1"/>
    <sheet name="TTS description" sheetId="4" r:id="rId2"/>
    <sheet name="TTS parameters" sheetId="3" r:id="rId3"/>
    <sheet name="fields" sheetId="6" r:id="rId4"/>
  </sheets>
  <definedNames>
    <definedName name="_xlnm._FilterDatabase" localSheetId="2" hidden="1">'TTS parameters'!$A$1:$J$202</definedName>
    <definedName name="DTTM_TTS_definitions" localSheetId="1">#REF!</definedName>
    <definedName name="DTTM_TTS_definitions" localSheetId="2">'TTS parameters'!$D$1:$J$4</definedName>
    <definedName name="DTTM_TTS_definitions">#REF!</definedName>
    <definedName name="Z_5BA1CD7D_F5A8_491F_BE80_49D284764C09_.wvu.FilterData" localSheetId="2" hidden="1">'TTS parameters'!$D$1:$R$110</definedName>
  </definedNames>
  <calcPr calcId="191029"/>
  <customWorkbookViews>
    <customWorkbookView name="Filter 1" guid="{5BA1CD7D-F5A8-491F-BE80-49D284764C09}"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20" i="3" l="1"/>
  <c r="F119" i="3"/>
  <c r="F123" i="3"/>
  <c r="F132" i="3"/>
  <c r="F131" i="3"/>
  <c r="F128" i="3"/>
  <c r="F127" i="3"/>
  <c r="H100" i="4"/>
  <c r="H99" i="4"/>
  <c r="H98" i="4"/>
  <c r="H97" i="4"/>
  <c r="H96" i="4"/>
  <c r="H95" i="4"/>
  <c r="H94" i="4"/>
  <c r="H93" i="4"/>
  <c r="H92" i="4"/>
  <c r="H91" i="4"/>
  <c r="H90" i="4"/>
  <c r="H89" i="4"/>
  <c r="H88" i="4"/>
  <c r="F163" i="3"/>
  <c r="F162" i="3"/>
  <c r="F152" i="3" l="1"/>
  <c r="F158" i="3"/>
  <c r="F157" i="3"/>
  <c r="F151" i="3"/>
  <c r="F150" i="3"/>
  <c r="F124" i="3"/>
  <c r="F115" i="3"/>
  <c r="F114" i="3"/>
  <c r="E64" i="4" l="1"/>
  <c r="E62" i="4"/>
  <c r="G60" i="4"/>
  <c r="E60" i="4"/>
  <c r="E57" i="4"/>
  <c r="F49" i="4"/>
  <c r="E49" i="4"/>
  <c r="F39" i="4"/>
  <c r="E39" i="4"/>
  <c r="E17" i="4"/>
</calcChain>
</file>

<file path=xl/sharedStrings.xml><?xml version="1.0" encoding="utf-8"?>
<sst xmlns="http://schemas.openxmlformats.org/spreadsheetml/2006/main" count="1902" uniqueCount="629">
  <si>
    <t>Grouping of parameters</t>
  </si>
  <si>
    <t>constant</t>
  </si>
  <si>
    <t>Systems</t>
  </si>
  <si>
    <t xml:space="preserve">timeseries
</t>
  </si>
  <si>
    <t>Tank</t>
  </si>
  <si>
    <t>data_array</t>
  </si>
  <si>
    <t>Core</t>
  </si>
  <si>
    <t>Windings</t>
  </si>
  <si>
    <t>Cooler</t>
  </si>
  <si>
    <t>input/output</t>
  </si>
  <si>
    <t>parameter type</t>
  </si>
  <si>
    <t>group</t>
  </si>
  <si>
    <t>remarks</t>
  </si>
  <si>
    <t>Bottom liquid temperature</t>
  </si>
  <si>
    <t>°C</t>
  </si>
  <si>
    <t>t_bl</t>
  </si>
  <si>
    <t>output</t>
  </si>
  <si>
    <t>Top liquid temperature</t>
  </si>
  <si>
    <t>t_tl</t>
  </si>
  <si>
    <t>Hot-spot temperature</t>
  </si>
  <si>
    <t>t_hs</t>
  </si>
  <si>
    <t>Winding temp. indicator</t>
  </si>
  <si>
    <t>t_wti</t>
  </si>
  <si>
    <t>Load factor</t>
  </si>
  <si>
    <t>pu</t>
  </si>
  <si>
    <t>load</t>
  </si>
  <si>
    <t>input</t>
  </si>
  <si>
    <t>Ambient temperature</t>
  </si>
  <si>
    <t>t_amb</t>
  </si>
  <si>
    <t>Fan group 1 status</t>
  </si>
  <si>
    <t>1/0</t>
  </si>
  <si>
    <t>fangr1</t>
  </si>
  <si>
    <t>Fan group 2 status</t>
  </si>
  <si>
    <t>fangr2</t>
  </si>
  <si>
    <t>Fan group 3 status</t>
  </si>
  <si>
    <t>fangr3</t>
  </si>
  <si>
    <t>Tap position</t>
  </si>
  <si>
    <t>int</t>
  </si>
  <si>
    <t>tap_pos</t>
  </si>
  <si>
    <t>Sun irradiation</t>
  </si>
  <si>
    <t>W/m2</t>
  </si>
  <si>
    <t>irrad</t>
  </si>
  <si>
    <t>Wind speed</t>
  </si>
  <si>
    <t>m/s</t>
  </si>
  <si>
    <t>wind_speed</t>
  </si>
  <si>
    <t>Precipation rate</t>
  </si>
  <si>
    <t>mm/h</t>
  </si>
  <si>
    <t>prec_rate</t>
  </si>
  <si>
    <t>top liquid nonlinearity factor</t>
  </si>
  <si>
    <t>-</t>
  </si>
  <si>
    <t>x_iec</t>
  </si>
  <si>
    <t>winding nonlinearity factor</t>
  </si>
  <si>
    <t>y_iec</t>
  </si>
  <si>
    <t>top-liquid time constant correction factor</t>
  </si>
  <si>
    <t>k11</t>
  </si>
  <si>
    <t>hotspot thermal overshoot factor 1</t>
  </si>
  <si>
    <t>k21</t>
  </si>
  <si>
    <t>hotspot thermal overshoot factor 2</t>
  </si>
  <si>
    <t>Rated Load to no-load losses ratio</t>
  </si>
  <si>
    <t>R</t>
  </si>
  <si>
    <t>Rated cooling stage 2 TL temp rise</t>
  </si>
  <si>
    <t>K</t>
  </si>
  <si>
    <t>T_tl_2_iec</t>
  </si>
  <si>
    <t>Rated cooling stage 1 TL temp rise</t>
  </si>
  <si>
    <t>T_tl_1_iec</t>
  </si>
  <si>
    <t>Rated cooling stage 0 TL temp rise</t>
  </si>
  <si>
    <t>T_tl_0_iec</t>
  </si>
  <si>
    <t>Rated cooling stage 2 time constant</t>
  </si>
  <si>
    <t>min</t>
  </si>
  <si>
    <t>Tau_tl_2_iec</t>
  </si>
  <si>
    <t>Rated cooling stage 1 time constant</t>
  </si>
  <si>
    <t>Tau_tl_1_iec</t>
  </si>
  <si>
    <t>Rated cooling stage 0 time constant</t>
  </si>
  <si>
    <t>Tau_tl_0_iec</t>
  </si>
  <si>
    <t>Rated hot-spot gradient</t>
  </si>
  <si>
    <t>T_hgr_iec</t>
  </si>
  <si>
    <t>Hot-spot time constant</t>
  </si>
  <si>
    <t>Tau_hgr_iec</t>
  </si>
  <si>
    <t>OTI cooling control</t>
  </si>
  <si>
    <t>boolean</t>
  </si>
  <si>
    <t>C_OTI_act</t>
  </si>
  <si>
    <t>WTI cooling control</t>
  </si>
  <si>
    <t>C_WTI_act</t>
  </si>
  <si>
    <t>load-based cooling control</t>
  </si>
  <si>
    <t>C_load_act</t>
  </si>
  <si>
    <t>C2 WTI turn on temperature</t>
  </si>
  <si>
    <t>C2WTI_on</t>
  </si>
  <si>
    <t>C2 WTI turn off temperature</t>
  </si>
  <si>
    <t>C2WTI_off</t>
  </si>
  <si>
    <t>C1 WTI turn on temperature</t>
  </si>
  <si>
    <t>C1WTI_on</t>
  </si>
  <si>
    <t>C1 WTI turn off temperature</t>
  </si>
  <si>
    <t>C1WTI_off</t>
  </si>
  <si>
    <t>C2 OTI turn on temperature</t>
  </si>
  <si>
    <t>C2OTI_on</t>
  </si>
  <si>
    <t>C2 OTI turn off temperature</t>
  </si>
  <si>
    <t>C2OTI_off</t>
  </si>
  <si>
    <t>C1 OTI turn on temperature</t>
  </si>
  <si>
    <t>C1OTI_on</t>
  </si>
  <si>
    <t>C1 OTI turn off temperature</t>
  </si>
  <si>
    <t>C1OTI_off</t>
  </si>
  <si>
    <t>C2 load factor turn on temperature</t>
  </si>
  <si>
    <t>C2load_on</t>
  </si>
  <si>
    <t>C2 load factor off temperature</t>
  </si>
  <si>
    <t>C2load_off</t>
  </si>
  <si>
    <t>C1 load factor turn on temperature</t>
  </si>
  <si>
    <t>C1load_on</t>
  </si>
  <si>
    <t>C1 load factor turn off temperature</t>
  </si>
  <si>
    <t>C1load_off</t>
  </si>
  <si>
    <t>Cooling stage 0 fan number</t>
  </si>
  <si>
    <t>fanstage0</t>
  </si>
  <si>
    <t>Cooling stage 1 fan number</t>
  </si>
  <si>
    <t>fanstage1</t>
  </si>
  <si>
    <t>Cooling stage 2 fan number</t>
  </si>
  <si>
    <t>fanstage2</t>
  </si>
  <si>
    <t>Nominal voltage (at nominal tap)</t>
  </si>
  <si>
    <t>kV</t>
  </si>
  <si>
    <t>U_nom</t>
  </si>
  <si>
    <t>phase-to-phase</t>
  </si>
  <si>
    <t>Nominal power</t>
  </si>
  <si>
    <t>MVA</t>
  </si>
  <si>
    <t>S_nom</t>
  </si>
  <si>
    <t>Connection</t>
  </si>
  <si>
    <t>conn</t>
  </si>
  <si>
    <t>star, delta</t>
  </si>
  <si>
    <t>Type of regulation</t>
  </si>
  <si>
    <t>reg_typ</t>
  </si>
  <si>
    <t>none, tapped, boost wind., boost/buck wind., fine/coarse wind.</t>
  </si>
  <si>
    <t>Identifier of minus position</t>
  </si>
  <si>
    <t>min_tap</t>
  </si>
  <si>
    <t>Identifier of nominal position</t>
  </si>
  <si>
    <t>nom_tap</t>
  </si>
  <si>
    <t>Identifier of plus position</t>
  </si>
  <si>
    <t>plus_tap</t>
  </si>
  <si>
    <t>Percentage per regulation step</t>
  </si>
  <si>
    <t>%</t>
  </si>
  <si>
    <t>reg_step</t>
  </si>
  <si>
    <t>Length of tank</t>
  </si>
  <si>
    <t>mm</t>
  </si>
  <si>
    <t>L_k</t>
  </si>
  <si>
    <t>Width of tank</t>
  </si>
  <si>
    <t>W_k</t>
  </si>
  <si>
    <t>Height of tank</t>
  </si>
  <si>
    <t>H_k</t>
  </si>
  <si>
    <t>liquid volume (20 °C) in tank</t>
  </si>
  <si>
    <t>m³</t>
  </si>
  <si>
    <t>V_oil_tank</t>
  </si>
  <si>
    <t>Position of liquid inlet from radiator</t>
  </si>
  <si>
    <t>d_inlet</t>
  </si>
  <si>
    <t>distance from tank bottom</t>
  </si>
  <si>
    <t>Insulation fluid</t>
  </si>
  <si>
    <t>fluid</t>
  </si>
  <si>
    <t>mineral, nat. ester, syt. ester</t>
  </si>
  <si>
    <t>Distance between upper yoke and tank</t>
  </si>
  <si>
    <t>A_yoke_cover</t>
  </si>
  <si>
    <t>Eddy Losses outside the winding (nominal tap)</t>
  </si>
  <si>
    <t>kW</t>
  </si>
  <si>
    <t>P_S</t>
  </si>
  <si>
    <t>Core diameter</t>
  </si>
  <si>
    <t>D_S</t>
  </si>
  <si>
    <t>Heigth of core limb</t>
  </si>
  <si>
    <t>H_F</t>
  </si>
  <si>
    <t>Main yoke height</t>
  </si>
  <si>
    <t>B_J</t>
  </si>
  <si>
    <t>Limb center distance</t>
  </si>
  <si>
    <t>E_center</t>
  </si>
  <si>
    <t>Total core mass</t>
  </si>
  <si>
    <t>kg</t>
  </si>
  <si>
    <t>G_FE</t>
  </si>
  <si>
    <t>Number of wounded limbs</t>
  </si>
  <si>
    <t>N_limb</t>
  </si>
  <si>
    <t>Core losses at nominal voltage</t>
  </si>
  <si>
    <t>P_C</t>
  </si>
  <si>
    <t>Temperature gradient to core surface</t>
  </si>
  <si>
    <t>g_c_sur</t>
  </si>
  <si>
    <t>optional input</t>
  </si>
  <si>
    <t>Temperature gradient to inner package</t>
  </si>
  <si>
    <t>g_c_pac</t>
  </si>
  <si>
    <t>Longitudinal liquid temperature rise in liquid ducts</t>
  </si>
  <si>
    <t>D_C</t>
  </si>
  <si>
    <t>Name of winding</t>
  </si>
  <si>
    <t>wnam</t>
  </si>
  <si>
    <t>Inner diameter</t>
  </si>
  <si>
    <t>D_i</t>
  </si>
  <si>
    <t>Outer diameter</t>
  </si>
  <si>
    <t>D_o</t>
  </si>
  <si>
    <t>Height</t>
  </si>
  <si>
    <t>H_w</t>
  </si>
  <si>
    <t>Summarized heigth of spacers</t>
  </si>
  <si>
    <t>H_spac</t>
  </si>
  <si>
    <t>Summarized width of all axial ducts</t>
  </si>
  <si>
    <t>W_duct</t>
  </si>
  <si>
    <t>Upper yoke clearance</t>
  </si>
  <si>
    <t>A_o</t>
  </si>
  <si>
    <t>Lower yoke clearance</t>
  </si>
  <si>
    <t>A_u</t>
  </si>
  <si>
    <t>Solid winding mass (all wounded limbs)</t>
  </si>
  <si>
    <t>m_solid</t>
  </si>
  <si>
    <t>Paper insulation mass (all wounded limbs)</t>
  </si>
  <si>
    <t>m_paper</t>
  </si>
  <si>
    <t>Conductor Material</t>
  </si>
  <si>
    <t>wmat</t>
  </si>
  <si>
    <t>Cu, Al</t>
  </si>
  <si>
    <t>Ohmic resistance per phase (75 °C)</t>
  </si>
  <si>
    <t>Ω</t>
  </si>
  <si>
    <t>R_ohm</t>
  </si>
  <si>
    <t>Eddy Losses (75 °C) in plus tap position (all wounded limbs)</t>
  </si>
  <si>
    <t>P_eddy_plus</t>
  </si>
  <si>
    <t>Eddy Losses (75 °C) in nominal tap position  (all wounded limbs)</t>
  </si>
  <si>
    <t>P_eddy_nom</t>
  </si>
  <si>
    <t>Eddy losses (75 °C) in minus tap position  (all wounded limbs)</t>
  </si>
  <si>
    <t>P_eddy_minus</t>
  </si>
  <si>
    <t>Average temperature gradient (nominal power, nominal tap)</t>
  </si>
  <si>
    <t>g_w_av</t>
  </si>
  <si>
    <t>Hotspot temperature gradient (nominal power, nominal tap)</t>
  </si>
  <si>
    <t>g_w_hs</t>
  </si>
  <si>
    <t>Longitudinal liquid temperature rise in liquid ducts (nominal power, nominal tap)</t>
  </si>
  <si>
    <t>D_w</t>
  </si>
  <si>
    <t>Average winding temperatue rise (nominal power, nominal tap)</t>
  </si>
  <si>
    <t>parameter ideally from heat run test</t>
  </si>
  <si>
    <t>Hotspot winding temperature rise (nominal power, nominal tap)</t>
  </si>
  <si>
    <t>dTheta_hs</t>
  </si>
  <si>
    <t>Exponent over losses for average winding gradient</t>
  </si>
  <si>
    <t>x_p_av</t>
  </si>
  <si>
    <t>Exponent over losses for hotspot winding gradient</t>
  </si>
  <si>
    <t>x_p_hs</t>
  </si>
  <si>
    <t>AN loading factor</t>
  </si>
  <si>
    <t>K_AN</t>
  </si>
  <si>
    <t>AN power/AFmax power</t>
  </si>
  <si>
    <t>Name of cooling stages</t>
  </si>
  <si>
    <t>stage</t>
  </si>
  <si>
    <t>Number of active fans (or groups)</t>
  </si>
  <si>
    <t>n_fan</t>
  </si>
  <si>
    <t>Average liquid temperature rise at radiator</t>
  </si>
  <si>
    <t>dTheta_om</t>
  </si>
  <si>
    <t>Top liquid temperature rise at radiator</t>
  </si>
  <si>
    <t>dTheta_o</t>
  </si>
  <si>
    <t>Distance from tank bottom to cooler top</t>
  </si>
  <si>
    <t>H_cool_top</t>
  </si>
  <si>
    <t>Radiator height</t>
  </si>
  <si>
    <t>d_cool</t>
  </si>
  <si>
    <t>liquid volume (20 °C) in radiator</t>
  </si>
  <si>
    <t>V_oil_cool</t>
  </si>
  <si>
    <t>shortname</t>
  </si>
  <si>
    <t>value</t>
  </si>
  <si>
    <t>k22</t>
  </si>
  <si>
    <t>unit</t>
  </si>
  <si>
    <t>T_tl_iec</t>
  </si>
  <si>
    <t>Tau_tl_iec</t>
  </si>
  <si>
    <t>Parameters for ONAN/ONAFx transformers</t>
  </si>
  <si>
    <t>Component</t>
  </si>
  <si>
    <t>Name</t>
  </si>
  <si>
    <t>Symbol</t>
  </si>
  <si>
    <t>Unit</t>
  </si>
  <si>
    <t>Values</t>
  </si>
  <si>
    <t>Remark to parameter</t>
  </si>
  <si>
    <t>Name of electrical system</t>
  </si>
  <si>
    <t>snam</t>
  </si>
  <si>
    <t>HV</t>
  </si>
  <si>
    <t>LV</t>
  </si>
  <si>
    <t>Nominal voltage (at nominal tap position)</t>
  </si>
  <si>
    <r>
      <t>U</t>
    </r>
    <r>
      <rPr>
        <vertAlign val="subscript"/>
        <sz val="11"/>
        <color theme="1"/>
        <rFont val="Roboto"/>
        <family val="2"/>
        <scheme val="minor"/>
      </rPr>
      <t>nom</t>
    </r>
  </si>
  <si>
    <t>Nominal power (at AFmax)</t>
  </si>
  <si>
    <r>
      <t>S</t>
    </r>
    <r>
      <rPr>
        <vertAlign val="subscript"/>
        <sz val="11"/>
        <color theme="1"/>
        <rFont val="Roboto"/>
        <family val="2"/>
        <scheme val="minor"/>
      </rPr>
      <t>nom</t>
    </r>
  </si>
  <si>
    <t>star</t>
  </si>
  <si>
    <t>delta</t>
  </si>
  <si>
    <t>use "star" or "delta"</t>
  </si>
  <si>
    <t>Boost/Buck</t>
  </si>
  <si>
    <t>none</t>
  </si>
  <si>
    <t>use "none", "tapped", "Boost wind.", "Boost/Buck wind." or "Fine/Coarse wind."</t>
  </si>
  <si>
    <t>Voltage at minus position</t>
  </si>
  <si>
    <t>min-tap</t>
  </si>
  <si>
    <t>for TTSa: only nominal tap is modeled, Tap Position is missing in time series</t>
  </si>
  <si>
    <t>Voltage at nominal position</t>
  </si>
  <si>
    <t>nom-tap</t>
  </si>
  <si>
    <t>Voltage at plus position</t>
  </si>
  <si>
    <t>plus-tap</t>
  </si>
  <si>
    <t>reg-step</t>
  </si>
  <si>
    <r>
      <t>L</t>
    </r>
    <r>
      <rPr>
        <vertAlign val="subscript"/>
        <sz val="11"/>
        <color theme="1"/>
        <rFont val="Roboto"/>
        <family val="2"/>
        <scheme val="minor"/>
      </rPr>
      <t>K</t>
    </r>
  </si>
  <si>
    <r>
      <t>W</t>
    </r>
    <r>
      <rPr>
        <vertAlign val="subscript"/>
        <sz val="11"/>
        <color theme="1"/>
        <rFont val="Roboto"/>
        <family val="2"/>
        <scheme val="minor"/>
      </rPr>
      <t>K</t>
    </r>
  </si>
  <si>
    <r>
      <t>H</t>
    </r>
    <r>
      <rPr>
        <vertAlign val="subscript"/>
        <sz val="11"/>
        <color theme="1"/>
        <rFont val="Roboto"/>
        <family val="2"/>
        <scheme val="minor"/>
      </rPr>
      <t>K</t>
    </r>
  </si>
  <si>
    <t>Oil volume (20 °C) in tank</t>
  </si>
  <si>
    <r>
      <t>V</t>
    </r>
    <r>
      <rPr>
        <vertAlign val="subscript"/>
        <sz val="11"/>
        <color theme="1"/>
        <rFont val="Roboto"/>
        <family val="2"/>
        <scheme val="minor"/>
      </rPr>
      <t>oil,tank</t>
    </r>
  </si>
  <si>
    <t>for TTSa: estimated with 80 % of total oil. Total oil according to nameplate is 8960 imperial gallon. So it's 40.7 m3, 80% are 32.59 m3.</t>
  </si>
  <si>
    <t>Position of oil inlet from radiator</t>
  </si>
  <si>
    <r>
      <t>d</t>
    </r>
    <r>
      <rPr>
        <vertAlign val="subscript"/>
        <sz val="11"/>
        <color theme="1"/>
        <rFont val="Roboto"/>
        <family val="2"/>
        <scheme val="minor"/>
      </rPr>
      <t>inlet</t>
    </r>
  </si>
  <si>
    <t>mineral</t>
  </si>
  <si>
    <t>use "mineral", "nat. ester" or "synt. ester"</t>
  </si>
  <si>
    <r>
      <t>A</t>
    </r>
    <r>
      <rPr>
        <vertAlign val="subscript"/>
        <sz val="11"/>
        <color theme="1"/>
        <rFont val="Roboto"/>
        <family val="2"/>
        <scheme val="minor"/>
      </rPr>
      <t>yoke,cover</t>
    </r>
  </si>
  <si>
    <r>
      <t>P</t>
    </r>
    <r>
      <rPr>
        <vertAlign val="subscript"/>
        <sz val="11"/>
        <color theme="1"/>
        <rFont val="Roboto"/>
        <family val="2"/>
        <scheme val="minor"/>
      </rPr>
      <t>s</t>
    </r>
  </si>
  <si>
    <r>
      <t>D</t>
    </r>
    <r>
      <rPr>
        <vertAlign val="subscript"/>
        <sz val="11"/>
        <color theme="1"/>
        <rFont val="Roboto"/>
        <family val="2"/>
        <scheme val="minor"/>
      </rPr>
      <t>s</t>
    </r>
  </si>
  <si>
    <r>
      <t>H</t>
    </r>
    <r>
      <rPr>
        <vertAlign val="subscript"/>
        <sz val="11"/>
        <color theme="1"/>
        <rFont val="Roboto"/>
        <family val="2"/>
        <scheme val="minor"/>
      </rPr>
      <t>F</t>
    </r>
  </si>
  <si>
    <t>Is this the heigth of the window? 1699 mm is the size of the window (see picture)</t>
  </si>
  <si>
    <r>
      <t>B</t>
    </r>
    <r>
      <rPr>
        <vertAlign val="subscript"/>
        <sz val="11"/>
        <color theme="1"/>
        <rFont val="Roboto"/>
        <family val="2"/>
        <scheme val="minor"/>
      </rPr>
      <t>j</t>
    </r>
  </si>
  <si>
    <r>
      <t>E</t>
    </r>
    <r>
      <rPr>
        <vertAlign val="subscript"/>
        <sz val="11"/>
        <color theme="1"/>
        <rFont val="Roboto"/>
        <family val="2"/>
        <scheme val="minor"/>
      </rPr>
      <t>center</t>
    </r>
  </si>
  <si>
    <r>
      <t>G</t>
    </r>
    <r>
      <rPr>
        <vertAlign val="subscript"/>
        <sz val="11"/>
        <color theme="1"/>
        <rFont val="Roboto"/>
        <family val="2"/>
        <scheme val="minor"/>
      </rPr>
      <t>FE</t>
    </r>
  </si>
  <si>
    <t>The mass of the core and coils is 33203 kg (nameplate). OK. Total of core and winding mass shown with lines 27 and 42.</t>
  </si>
  <si>
    <r>
      <t>N</t>
    </r>
    <r>
      <rPr>
        <vertAlign val="subscript"/>
        <sz val="11"/>
        <color theme="1"/>
        <rFont val="Roboto"/>
        <family val="2"/>
        <scheme val="minor"/>
      </rPr>
      <t>limb</t>
    </r>
  </si>
  <si>
    <r>
      <t>P</t>
    </r>
    <r>
      <rPr>
        <vertAlign val="subscript"/>
        <sz val="11"/>
        <color theme="1"/>
        <rFont val="Roboto"/>
        <family val="2"/>
        <scheme val="minor"/>
      </rPr>
      <t>c</t>
    </r>
  </si>
  <si>
    <r>
      <t>g</t>
    </r>
    <r>
      <rPr>
        <vertAlign val="subscript"/>
        <sz val="11"/>
        <color theme="1"/>
        <rFont val="Roboto"/>
        <family val="2"/>
        <scheme val="minor"/>
      </rPr>
      <t>sur</t>
    </r>
  </si>
  <si>
    <r>
      <t>g</t>
    </r>
    <r>
      <rPr>
        <vertAlign val="subscript"/>
        <sz val="11"/>
        <color theme="1"/>
        <rFont val="Roboto"/>
        <family val="2"/>
        <scheme val="minor"/>
      </rPr>
      <t>pac</t>
    </r>
  </si>
  <si>
    <t>Longitudinal oil temperature rise in oil ducts</t>
  </si>
  <si>
    <r>
      <t>D</t>
    </r>
    <r>
      <rPr>
        <vertAlign val="subscript"/>
        <sz val="11"/>
        <color theme="1"/>
        <rFont val="Roboto"/>
        <family val="2"/>
        <scheme val="minor"/>
      </rPr>
      <t>c</t>
    </r>
  </si>
  <si>
    <r>
      <t>D</t>
    </r>
    <r>
      <rPr>
        <vertAlign val="subscript"/>
        <sz val="11"/>
        <color theme="1"/>
        <rFont val="Roboto"/>
        <family val="2"/>
        <scheme val="minor"/>
      </rPr>
      <t>i</t>
    </r>
  </si>
  <si>
    <r>
      <t>D</t>
    </r>
    <r>
      <rPr>
        <vertAlign val="subscript"/>
        <sz val="11"/>
        <color theme="1"/>
        <rFont val="Roboto"/>
        <family val="2"/>
        <scheme val="minor"/>
      </rPr>
      <t>o</t>
    </r>
  </si>
  <si>
    <r>
      <t>H</t>
    </r>
    <r>
      <rPr>
        <vertAlign val="subscript"/>
        <sz val="11"/>
        <color theme="1"/>
        <rFont val="Roboto"/>
        <family val="2"/>
        <scheme val="minor"/>
      </rPr>
      <t>w</t>
    </r>
  </si>
  <si>
    <r>
      <t>H</t>
    </r>
    <r>
      <rPr>
        <vertAlign val="subscript"/>
        <sz val="11"/>
        <color theme="1"/>
        <rFont val="Roboto"/>
        <family val="2"/>
        <scheme val="minor"/>
      </rPr>
      <t>spac</t>
    </r>
  </si>
  <si>
    <t>Winding_heigth - (number of disc * heigth of disc with paper insulation)</t>
  </si>
  <si>
    <r>
      <t>W</t>
    </r>
    <r>
      <rPr>
        <vertAlign val="subscript"/>
        <sz val="11"/>
        <color theme="1"/>
        <rFont val="Roboto"/>
        <family val="2"/>
        <scheme val="minor"/>
      </rPr>
      <t>duct</t>
    </r>
  </si>
  <si>
    <t>Inner axial duct + outer axial duct (dimensions in the cells)</t>
  </si>
  <si>
    <r>
      <t>A</t>
    </r>
    <r>
      <rPr>
        <vertAlign val="subscript"/>
        <sz val="11"/>
        <color theme="1"/>
        <rFont val="Roboto"/>
        <family val="2"/>
        <scheme val="minor"/>
      </rPr>
      <t>o</t>
    </r>
  </si>
  <si>
    <r>
      <t>A</t>
    </r>
    <r>
      <rPr>
        <vertAlign val="subscript"/>
        <sz val="11"/>
        <color theme="1"/>
        <rFont val="Roboto"/>
        <family val="2"/>
        <scheme val="minor"/>
      </rPr>
      <t>u</t>
    </r>
  </si>
  <si>
    <r>
      <t>m</t>
    </r>
    <r>
      <rPr>
        <vertAlign val="subscript"/>
        <sz val="11"/>
        <color theme="1"/>
        <rFont val="Roboto"/>
        <family val="2"/>
        <scheme val="minor"/>
      </rPr>
      <t>solid</t>
    </r>
  </si>
  <si>
    <r>
      <t>m</t>
    </r>
    <r>
      <rPr>
        <vertAlign val="subscript"/>
        <sz val="11"/>
        <color theme="1"/>
        <rFont val="Roboto"/>
        <family val="2"/>
        <scheme val="minor"/>
      </rPr>
      <t>paper</t>
    </r>
  </si>
  <si>
    <t>Cu</t>
  </si>
  <si>
    <t>use "Cu" or "Al"</t>
  </si>
  <si>
    <r>
      <t>R</t>
    </r>
    <r>
      <rPr>
        <vertAlign val="subscript"/>
        <sz val="11"/>
        <color theme="1"/>
        <rFont val="Roboto"/>
        <family val="2"/>
        <scheme val="minor"/>
      </rPr>
      <t>ohm</t>
    </r>
  </si>
  <si>
    <r>
      <t>P</t>
    </r>
    <r>
      <rPr>
        <vertAlign val="subscript"/>
        <sz val="11"/>
        <color theme="1"/>
        <rFont val="Roboto"/>
        <family val="2"/>
        <scheme val="minor"/>
      </rPr>
      <t>eddy,plus,tap</t>
    </r>
  </si>
  <si>
    <t>Eddy Losses (75 °C) in nominal tap position (all wounded limbs)</t>
  </si>
  <si>
    <r>
      <t>P</t>
    </r>
    <r>
      <rPr>
        <vertAlign val="subscript"/>
        <sz val="11"/>
        <color theme="1"/>
        <rFont val="Roboto"/>
        <family val="2"/>
        <scheme val="minor"/>
      </rPr>
      <t>eddy,nom,tap</t>
    </r>
  </si>
  <si>
    <t>Eddy losses (75 °C) in minus tap position (all wounded limbs)</t>
  </si>
  <si>
    <r>
      <t>P</t>
    </r>
    <r>
      <rPr>
        <vertAlign val="subscript"/>
        <sz val="11"/>
        <color theme="1"/>
        <rFont val="Roboto"/>
        <family val="2"/>
        <scheme val="minor"/>
      </rPr>
      <t>eddy,minus,tab</t>
    </r>
  </si>
  <si>
    <r>
      <t>g</t>
    </r>
    <r>
      <rPr>
        <vertAlign val="subscript"/>
        <sz val="11"/>
        <color theme="1"/>
        <rFont val="Roboto"/>
        <family val="2"/>
        <scheme val="minor"/>
      </rPr>
      <t>w,av</t>
    </r>
  </si>
  <si>
    <r>
      <t>based on inner winding oil temperature</t>
    </r>
    <r>
      <rPr>
        <i/>
        <sz val="11"/>
        <color rgb="FFFF0000"/>
        <rFont val="Roboto"/>
        <family val="2"/>
        <scheme val="minor"/>
      </rPr>
      <t>, for TTSa: estimated from heat run data</t>
    </r>
  </si>
  <si>
    <r>
      <t>g</t>
    </r>
    <r>
      <rPr>
        <vertAlign val="subscript"/>
        <sz val="11"/>
        <color theme="1"/>
        <rFont val="Roboto"/>
        <family val="2"/>
        <scheme val="minor"/>
      </rPr>
      <t>w,hs</t>
    </r>
  </si>
  <si>
    <r>
      <t>based on inner winding oil temperature</t>
    </r>
    <r>
      <rPr>
        <i/>
        <sz val="11"/>
        <color rgb="FFFF0000"/>
        <rFont val="Roboto"/>
        <family val="2"/>
        <scheme val="minor"/>
      </rPr>
      <t>, for TTSa: data about hotspot rise not available</t>
    </r>
  </si>
  <si>
    <t>Longitudinal oil temperature rise in oil ducts (nominal power, nominal tap)</t>
  </si>
  <si>
    <r>
      <t>D</t>
    </r>
    <r>
      <rPr>
        <vertAlign val="subscript"/>
        <sz val="11"/>
        <color theme="1"/>
        <rFont val="Roboto"/>
        <family val="2"/>
        <scheme val="minor"/>
      </rPr>
      <t>w</t>
    </r>
  </si>
  <si>
    <r>
      <t>Δθ</t>
    </r>
    <r>
      <rPr>
        <vertAlign val="subscript"/>
        <sz val="11"/>
        <color theme="1"/>
        <rFont val="Calibri"/>
        <family val="2"/>
      </rPr>
      <t>aw</t>
    </r>
  </si>
  <si>
    <r>
      <t>Δθ</t>
    </r>
    <r>
      <rPr>
        <vertAlign val="subscript"/>
        <sz val="11"/>
        <color theme="1"/>
        <rFont val="Calibri"/>
        <family val="2"/>
      </rPr>
      <t>hs</t>
    </r>
  </si>
  <si>
    <r>
      <t>parameter ideally from heat run test</t>
    </r>
    <r>
      <rPr>
        <i/>
        <sz val="11"/>
        <color rgb="FFFF0000"/>
        <rFont val="Roboto"/>
        <family val="2"/>
        <scheme val="minor"/>
      </rPr>
      <t>, for TTSa: data about hotspot rise not available</t>
    </r>
  </si>
  <si>
    <r>
      <t>x</t>
    </r>
    <r>
      <rPr>
        <vertAlign val="subscript"/>
        <sz val="11"/>
        <color theme="1"/>
        <rFont val="Roboto"/>
        <family val="2"/>
        <scheme val="minor"/>
      </rPr>
      <t>p,av</t>
    </r>
  </si>
  <si>
    <r>
      <t>x</t>
    </r>
    <r>
      <rPr>
        <vertAlign val="subscript"/>
        <sz val="11"/>
        <color theme="1"/>
        <rFont val="Roboto"/>
        <family val="2"/>
        <scheme val="minor"/>
      </rPr>
      <t>p,hs</t>
    </r>
  </si>
  <si>
    <r>
      <t>K</t>
    </r>
    <r>
      <rPr>
        <vertAlign val="subscript"/>
        <sz val="11"/>
        <color theme="1"/>
        <rFont val="Roboto"/>
        <family val="2"/>
        <scheme val="minor"/>
      </rPr>
      <t>AN</t>
    </r>
  </si>
  <si>
    <t>AN/AFmax loading</t>
  </si>
  <si>
    <t>AN</t>
  </si>
  <si>
    <t>AF1</t>
  </si>
  <si>
    <t>AF2</t>
  </si>
  <si>
    <r>
      <t>n</t>
    </r>
    <r>
      <rPr>
        <vertAlign val="subscript"/>
        <sz val="11"/>
        <color theme="1"/>
        <rFont val="Roboto"/>
        <family val="2"/>
        <scheme val="minor"/>
      </rPr>
      <t>fan</t>
    </r>
  </si>
  <si>
    <t>There are 2 cooling units (block of radiators) with 6 fans each.</t>
  </si>
  <si>
    <t>Average oil temperature rise at radiator</t>
  </si>
  <si>
    <r>
      <t>Δθ</t>
    </r>
    <r>
      <rPr>
        <vertAlign val="subscript"/>
        <sz val="11"/>
        <color theme="1"/>
        <rFont val="Calibri"/>
        <family val="2"/>
      </rPr>
      <t>om</t>
    </r>
  </si>
  <si>
    <t>parameter from heat run test</t>
  </si>
  <si>
    <r>
      <t>Δθ</t>
    </r>
    <r>
      <rPr>
        <vertAlign val="subscript"/>
        <sz val="11"/>
        <color theme="1"/>
        <rFont val="Calibri"/>
        <family val="2"/>
      </rPr>
      <t>o</t>
    </r>
  </si>
  <si>
    <r>
      <t>H</t>
    </r>
    <r>
      <rPr>
        <vertAlign val="subscript"/>
        <sz val="11"/>
        <color theme="1"/>
        <rFont val="Calibri"/>
        <family val="2"/>
      </rPr>
      <t>cool,top</t>
    </r>
  </si>
  <si>
    <r>
      <t>d</t>
    </r>
    <r>
      <rPr>
        <vertAlign val="subscript"/>
        <sz val="11"/>
        <color theme="1"/>
        <rFont val="Calibri"/>
        <family val="2"/>
      </rPr>
      <t>cooler</t>
    </r>
  </si>
  <si>
    <t>Oil volume (20 °C) in radiator</t>
  </si>
  <si>
    <r>
      <t>V</t>
    </r>
    <r>
      <rPr>
        <vertAlign val="subscript"/>
        <sz val="11"/>
        <color theme="1"/>
        <rFont val="Calibri"/>
        <family val="2"/>
      </rPr>
      <t>oil,cooler</t>
    </r>
  </si>
  <si>
    <t>for TTSa: estimated with 20 % of total oil</t>
  </si>
  <si>
    <t>HR test</t>
  </si>
  <si>
    <t>66 MVA, 225/26.4 kV, ONAN/ONAF)</t>
  </si>
  <si>
    <t>RI2 losses at 1 pu, tap 9 (neutral) and 75°C = 331406 W</t>
  </si>
  <si>
    <t>Stray losses at 1 pu, tap 9 (neutral) and 75°C = 93070 W (Eddy+Stray actually)</t>
  </si>
  <si>
    <t>Core losses = 50300 W</t>
  </si>
  <si>
    <t>R=8.44</t>
  </si>
  <si>
    <t>Weight of core and coil = 73200 lbs = 33203 kg</t>
  </si>
  <si>
    <t>Weight of tanks and fittings = 54200 lbs = 24585 kg</t>
  </si>
  <si>
    <t>Oil type = mineral oil</t>
  </si>
  <si>
    <t>Volume of oil = 8960 gallons imperial = 40733 litres</t>
  </si>
  <si>
    <t>Weight of oil = 76600 lbs = 34745 kg</t>
  </si>
  <si>
    <t>The heat-run test results indicate a winding temperature rise of 61.6°C. The ambient temperature, top oil temperature and bottom oil temperature at the end of the heat run test were respectively 30.2°C, 81.4°C and 46.7°C.</t>
  </si>
  <si>
    <t>WTI and cooling thermostat settings</t>
  </si>
  <si>
    <t>HGr(HV) = 10.7 °C</t>
  </si>
  <si>
    <t>HGr(LV) = 25.4 °C</t>
  </si>
  <si>
    <t>ONAF2 turn on: 75°C</t>
  </si>
  <si>
    <t>turn off: 65 °C</t>
  </si>
  <si>
    <t>ONAF1 turn on: 65 °C</t>
  </si>
  <si>
    <t>turn off: 55 °C</t>
  </si>
  <si>
    <t>The "hot-spot" is the temperaturemeasured using a FO probe in a spacer between disks 75 and 76 of phaseB.  The ambient temperature is measured using a temperature sensor near the transformer.  The top-oil is measured using a RTD located in athermo-well under the tank cover.  The bottom oil is measured using a FOprobe near the oil entrance at the bottom of the winding.  The HV and LVcurrents are in Ampere. Rated HV and LV currents are 169 A and 1443 A.</t>
  </si>
  <si>
    <t>models</t>
  </si>
  <si>
    <t>More information on the GitLab project:</t>
  </si>
  <si>
    <t>Contacts:</t>
  </si>
  <si>
    <t>fitted</t>
  </si>
  <si>
    <t>from_standard</t>
  </si>
  <si>
    <t>to be distributed to proprietary DTTM</t>
  </si>
  <si>
    <t>yes</t>
  </si>
  <si>
    <t>no</t>
  </si>
  <si>
    <t>Tap changer</t>
  </si>
  <si>
    <t>Operation</t>
  </si>
  <si>
    <t>Rated TL temp rise</t>
  </si>
  <si>
    <t>Rated time constant</t>
  </si>
  <si>
    <t>longname</t>
  </si>
  <si>
    <t>Paper type</t>
  </si>
  <si>
    <t>typePaper</t>
  </si>
  <si>
    <t>Ageing parameters</t>
  </si>
  <si>
    <t>ageingParameters</t>
  </si>
  <si>
    <t>Free from air and 0.5 % moisture</t>
  </si>
  <si>
    <t>"Standard (no air and moisture consideration)", "Free from air and 0.5 % moisture", "Free from air and 1.5 % moisture", "Free from air and 3.5 % moisture", "With air and 0.5 % moisture"</t>
  </si>
  <si>
    <t>not-tup</t>
  </si>
  <si>
    <t>"tup" or "not-tup"</t>
  </si>
  <si>
    <t>Cooling stage</t>
  </si>
  <si>
    <t>cooling_stage</t>
  </si>
  <si>
    <t>Winding I2R loss at rated load</t>
  </si>
  <si>
    <t>P_w</t>
  </si>
  <si>
    <t>W</t>
  </si>
  <si>
    <t>Eddy loss of windings at rated load</t>
  </si>
  <si>
    <t>P_e</t>
  </si>
  <si>
    <t>Stray losses at rated load</t>
  </si>
  <si>
    <t>P_s</t>
  </si>
  <si>
    <t>Core (no-load) loss</t>
  </si>
  <si>
    <t>P_c_r</t>
  </si>
  <si>
    <t>Average winding temperature rise over ambient at rated load tested</t>
  </si>
  <si>
    <t>Winding hottest-spot temperature rise over ambient at rated load</t>
  </si>
  <si>
    <t>no data</t>
  </si>
  <si>
    <t>Top fluid temperature rise over ambient in tank and radiator at rated load</t>
  </si>
  <si>
    <t>Bottom fluid temperature rise over ambient at rated load</t>
  </si>
  <si>
    <t>Rated ambient at kVA base for load cycle</t>
  </si>
  <si>
    <t>t_a_r</t>
  </si>
  <si>
    <t>Winding material</t>
  </si>
  <si>
    <t>w_material</t>
  </si>
  <si>
    <t>copper</t>
  </si>
  <si>
    <t>"copper" or "aluminium"</t>
  </si>
  <si>
    <t>Eddy loss at winding hot spot location</t>
  </si>
  <si>
    <t>E_hs</t>
  </si>
  <si>
    <t>per unit of I2R loss</t>
  </si>
  <si>
    <t>0 if unknown</t>
  </si>
  <si>
    <t>Winding time constant</t>
  </si>
  <si>
    <t>tau_w</t>
  </si>
  <si>
    <t>5 min suggested</t>
  </si>
  <si>
    <t>Per unit of winding height to hot spot location</t>
  </si>
  <si>
    <t>H_hs</t>
  </si>
  <si>
    <t>1 if unknown</t>
  </si>
  <si>
    <t>Core and coil (untanking) weight</t>
  </si>
  <si>
    <t>M_cc</t>
  </si>
  <si>
    <t>lb</t>
  </si>
  <si>
    <t>Mass of tank</t>
  </si>
  <si>
    <t>M_tank</t>
  </si>
  <si>
    <t>Liquid_material</t>
  </si>
  <si>
    <t>l_material</t>
  </si>
  <si>
    <t>oil</t>
  </si>
  <si>
    <t>"oil", "silicone" or "HTHC"</t>
  </si>
  <si>
    <t>Mass of fluid</t>
  </si>
  <si>
    <t>M_oil</t>
  </si>
  <si>
    <t>Type of core excitation</t>
  </si>
  <si>
    <t>excitation</t>
  </si>
  <si>
    <t>normal</t>
  </si>
  <si>
    <t>"normal" or "over"</t>
  </si>
  <si>
    <t>Core loss when overexcitation occurs</t>
  </si>
  <si>
    <t>P_c_oe</t>
  </si>
  <si>
    <t>Cooling mode</t>
  </si>
  <si>
    <t>cooling_mode</t>
  </si>
  <si>
    <t>ONAF</t>
  </si>
  <si>
    <t>"ONAN", "ONAF", "OFAF" or "ODAF"</t>
  </si>
  <si>
    <t>IEEEC57_91_G_top_liquid,IEEEC57_91_G_hotspot</t>
  </si>
  <si>
    <t>IEEEC57_91_G_hotspot</t>
  </si>
  <si>
    <t>Top oil time constant</t>
  </si>
  <si>
    <t>Tau_tl_r</t>
  </si>
  <si>
    <t>Ratio of load losses at rated current to no-load losses</t>
  </si>
  <si>
    <t>DC loss per unit value</t>
  </si>
  <si>
    <t>P_dc_pu</t>
  </si>
  <si>
    <t>Additional loss (i.e., equal to the sum of eddy and stray losses) per unit value</t>
  </si>
  <si>
    <t>P_a_pu</t>
  </si>
  <si>
    <t>TR_tl_r</t>
  </si>
  <si>
    <t>Rated top-oil temperature rise over ambient temperature</t>
  </si>
  <si>
    <t>"ONAN", "ONAF", "OFAF"</t>
  </si>
  <si>
    <t>"oil" or "silicone"</t>
  </si>
  <si>
    <t>Rated ambient</t>
  </si>
  <si>
    <t>DSusa_top_liquid</t>
  </si>
  <si>
    <t>Tau_w_r</t>
  </si>
  <si>
    <t>DSusa_hotspot</t>
  </si>
  <si>
    <t>Rated hot-spot temperature rise over top-oil temperature</t>
  </si>
  <si>
    <t>TR_hstl_r</t>
  </si>
  <si>
    <t>P_e_pu</t>
  </si>
  <si>
    <t>Eddy losses per unit value</t>
  </si>
  <si>
    <t>DSusa_top_liquid,DSusa_hotspot</t>
  </si>
  <si>
    <t>Rated power cooling stage 0</t>
  </si>
  <si>
    <t>Rated power cooling stage 1</t>
  </si>
  <si>
    <t>S_nom_0_iec</t>
  </si>
  <si>
    <t>S_nom_1_iec</t>
  </si>
  <si>
    <t>Minus tap Load to no-load losses ratio</t>
  </si>
  <si>
    <t>R_minus</t>
  </si>
  <si>
    <t>Plus tap Load to no-load losses ratio</t>
  </si>
  <si>
    <t>R_plus</t>
  </si>
  <si>
    <t>Rated tap position</t>
  </si>
  <si>
    <t>tap_pos_r</t>
  </si>
  <si>
    <t>Minus tap position</t>
  </si>
  <si>
    <t>Plus tap position</t>
  </si>
  <si>
    <t>tap_pos_minus</t>
  </si>
  <si>
    <t>tap_pos_plus</t>
  </si>
  <si>
    <t>Rated tap +1 Load to no-load losses ratio</t>
  </si>
  <si>
    <t>R_rp1</t>
  </si>
  <si>
    <t>top liquid nonlinearity factor from 60076-2</t>
  </si>
  <si>
    <t>winding nonlinearity factor from 60076-2</t>
  </si>
  <si>
    <t>x_iec_76_2</t>
  </si>
  <si>
    <t>y_iec_76_2</t>
  </si>
  <si>
    <t>Temperature rise test tap Load to no-load losses ratio</t>
  </si>
  <si>
    <t>R_trt</t>
  </si>
  <si>
    <t>Ir_tap_1</t>
  </si>
  <si>
    <t>Ir_tap_2</t>
  </si>
  <si>
    <t>Ir_tap_3</t>
  </si>
  <si>
    <t>Ir_tap_4</t>
  </si>
  <si>
    <t>Ir_tap_5</t>
  </si>
  <si>
    <t>Ir_tap_6</t>
  </si>
  <si>
    <t>Ir_tap_7</t>
  </si>
  <si>
    <t>Ir_tap_8</t>
  </si>
  <si>
    <t>Ir_tap_9</t>
  </si>
  <si>
    <t>Ir_tap_10</t>
  </si>
  <si>
    <t>Ir_tap_11</t>
  </si>
  <si>
    <t>Ir_tap_12</t>
  </si>
  <si>
    <t>Ir_tap_13</t>
  </si>
  <si>
    <t>Ir_tap_14</t>
  </si>
  <si>
    <t>Ir_tap_15</t>
  </si>
  <si>
    <t>Ir_tap_16</t>
  </si>
  <si>
    <t>Ir_tap_17</t>
  </si>
  <si>
    <t>Rated HV current tap 1</t>
  </si>
  <si>
    <t>Rated HV current tap 2</t>
  </si>
  <si>
    <t>Rated HV current tap 3</t>
  </si>
  <si>
    <t>Rated HV current tap 4</t>
  </si>
  <si>
    <t>Rated HV current tap 5</t>
  </si>
  <si>
    <t>Rated HV current tap 6</t>
  </si>
  <si>
    <t>Rated HV current tap 7</t>
  </si>
  <si>
    <t>Rated HV current tap 8</t>
  </si>
  <si>
    <t>Rated HV current tap 9</t>
  </si>
  <si>
    <t>Rated HV current tap 10</t>
  </si>
  <si>
    <t>Rated HV current tap 11</t>
  </si>
  <si>
    <t>Rated HV current tap 12</t>
  </si>
  <si>
    <t>Rated HV current tap 13</t>
  </si>
  <si>
    <t>Rated HV current tap 14</t>
  </si>
  <si>
    <t>Rated HV current tap 15</t>
  </si>
  <si>
    <t>Rated HV current tap 16</t>
  </si>
  <si>
    <t>Rated HV current tap 17</t>
  </si>
  <si>
    <t>IEC60076_VTP1_hotspot</t>
  </si>
  <si>
    <t>Average winding gradient</t>
  </si>
  <si>
    <t>IEC60076_VTP1_top_liquid,IEC60076_VTP1_hotspot</t>
  </si>
  <si>
    <t>A</t>
  </si>
  <si>
    <t>g_w</t>
  </si>
  <si>
    <t>Hotspot on the tapped winding</t>
  </si>
  <si>
    <t>loc_hs_tap</t>
  </si>
  <si>
    <t>"yes" or "no"</t>
  </si>
  <si>
    <t>Hot-spot winding gradient</t>
  </si>
  <si>
    <t>g_hs</t>
  </si>
  <si>
    <t>z_iec_76_2</t>
  </si>
  <si>
    <t>hotspot nonlinearity factor from 60076-2</t>
  </si>
  <si>
    <t>IEC60076_top_liquid,IEC60076_VCS2_top_liquid,IEC60076_VTP1_top_liquid,IEC60076_VTP1_hotspot</t>
  </si>
  <si>
    <t>27,75 LV 13,05 HV</t>
  </si>
  <si>
    <t>25,4 LV 10,7 HV</t>
  </si>
  <si>
    <t>51.2+25.4</t>
  </si>
  <si>
    <t>IEC60076_VCS1_top_liquid,IEC60076_evolution_top_liquid,IEC60076_VCS1amb_hotspot</t>
  </si>
  <si>
    <t>IEC60076_VCS1_top_liquid,IEC60076_evolution_top_liquid,IEC60076_VCS1tl_hotspot,IEC60076_VCS1amb_hotspot</t>
  </si>
  <si>
    <t>IEC60076_evolution_top_liquid</t>
  </si>
  <si>
    <t>VFT_A</t>
  </si>
  <si>
    <t>VFT_B</t>
  </si>
  <si>
    <t>VFT_C</t>
  </si>
  <si>
    <t>Liquid VFT A parameter</t>
  </si>
  <si>
    <t>Liquid VFT B parameter</t>
  </si>
  <si>
    <t>Liquid VFT C parameter</t>
  </si>
  <si>
    <t>IEC60076_top_liquid,IEC60076_VCS1_top_liquid,IEC60076_VCS1amb_hotspot,IEC60076_VCS2_top_liquid,IEC60076_VTP1_top_liquid</t>
  </si>
  <si>
    <t>DSusa_top_liquid,DSusa_hotspot,IEC60076_evolution_top_liquid</t>
  </si>
  <si>
    <t>IEC60076_VTP1_top_liquid,IEC60076_VTP1_hotspot,IEC60076_evolution_top_liquid</t>
  </si>
  <si>
    <t>DC loss tap minus</t>
  </si>
  <si>
    <t>P_dc_minus</t>
  </si>
  <si>
    <t>DC loss tap rated</t>
  </si>
  <si>
    <t>DC loss tap rated plus 1</t>
  </si>
  <si>
    <t>DC loss tap plus</t>
  </si>
  <si>
    <t>DC loss tap Temperature Rise Test</t>
  </si>
  <si>
    <t>P_dc_r</t>
  </si>
  <si>
    <t>P_dc_rp1</t>
  </si>
  <si>
    <t>P_dc_plus</t>
  </si>
  <si>
    <t>P_dc_trt</t>
  </si>
  <si>
    <t>Additional loss tap minus</t>
  </si>
  <si>
    <t>Additional loss tap rated</t>
  </si>
  <si>
    <t>Additional loss tap rated plus 1</t>
  </si>
  <si>
    <t>Additional loss tap plus</t>
  </si>
  <si>
    <t>Additional loss tap Temperature Rise Test</t>
  </si>
  <si>
    <t>P_a_minus</t>
  </si>
  <si>
    <t>P_a_r</t>
  </si>
  <si>
    <t>P_a_rp1</t>
  </si>
  <si>
    <t>P_a_plus</t>
  </si>
  <si>
    <t>P_a_trt</t>
  </si>
  <si>
    <t>No-load loss</t>
  </si>
  <si>
    <t>P_0</t>
  </si>
  <si>
    <t>https://gitlab.com/cigrea2.60/cigre-dttm-benchmarking-platform</t>
  </si>
  <si>
    <t>License information</t>
  </si>
  <si>
    <t>This program is distributed in the hope that it will be useful, but WITHOUT ANY WARRANTY; without even the implied warranty of MERCHANTABILITY or FITNESS FOR A PARTICULAR PURPOSE. See the GNU General Public License for more details: https://www.gnu.org/licenses/gpl-3.0.html</t>
  </si>
  <si>
    <t>Redistribution and use in source and binary forms, with or without modification, are permitted provided that the following conditions are met:</t>
  </si>
  <si>
    <t>1. Redistributions of source code must retain the above copyright notice, this list of conditions and the following disclaimer.</t>
  </si>
  <si>
    <t>2. Redistributions in binary form must reproduce the above copyright notice, this list of conditions and the following disclaimer in the documentation and/or other materials provided with the distribution.</t>
  </si>
  <si>
    <t>3. Neither the name of the copyright holder nor the names of its contributors may be used to endorse or promote products derived from this software without specific prior written permission. Copyright holder contact: Tim GRADNIK(tim.gradnik@eimv.si) and DESQUIENS Remi (remi.desquiens@edf.fr).</t>
  </si>
  <si>
    <t>THIS SOFTWARE IS PROVIDED BY THE COPYRIGHT HOLDERS AND CONTRIBUTORS "AS IS" AND ANY EXPRESS OR IMPLIED WARRANTIES, INCLUDING, BUT NOT LIMITED TO, THE IMPLIED WARRANTIES OF MERCHANTABILITY AND FITNESS FOR A PARTICULAR PURPOSE ARE DISCLAIMED. IN NO EVENT SHALL THE COPYRIGHT HOLDER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t>
  </si>
  <si>
    <t>CIGRE DTTM Benchmarking platform</t>
  </si>
  <si>
    <t>Prepared by CIGRE working group A2.60</t>
  </si>
  <si>
    <t>Tim GRADNIK (tim.gradnik@eimv.si)</t>
  </si>
  <si>
    <t>Remi DESQUIENS (remi.desquiens@edf.fr)</t>
  </si>
  <si>
    <t>Copyright 2024 Tim GRADNIK and the CIGRE working group A2.60. This program is free software: you can redistribute it and/or modify it under the terms of the GNU General Public License as published by the Free Software Foundation, either version 3 of the License, or (at your option) any later version.</t>
  </si>
  <si>
    <t>Liquid</t>
  </si>
  <si>
    <t>Temperature (deg C)</t>
  </si>
  <si>
    <t>Temperature (deg K)</t>
  </si>
  <si>
    <t>Density (kg/m^3)</t>
  </si>
  <si>
    <t>Specific heat capacity (J/kg*K)</t>
  </si>
  <si>
    <t>Thermal conductivity (W/m*K)</t>
  </si>
  <si>
    <t>Kinematic viscosity (m^2/s)</t>
  </si>
  <si>
    <t>Dynamic viscosity (Pa*s)</t>
  </si>
  <si>
    <t>IEC60076_top_liquid,IEC60076_VCS1_top_liquid,IEC60076_VCS1amb_hotspot,IEC60076_VCS2_top_liquid,IEC60076_VTP1_top_liquid,IEC60354_hotspot</t>
  </si>
  <si>
    <t>IEC60076_top_liquid,IEC60076_VCS1_top_liquid,IEC60076_VCS1amb_hotspot,IEC60076_VCS2_top_liquid,IEC60076_VTP1_top_liquid,IEC60076_VTP1_hotspot,IEC60354_hotspot</t>
  </si>
  <si>
    <t>Tau_bl_iec</t>
  </si>
  <si>
    <t>IEC60354_hotspot</t>
  </si>
  <si>
    <t>Rated BL temp rise</t>
  </si>
  <si>
    <t>T_bl_iec</t>
  </si>
  <si>
    <t>Rated ML temp rise</t>
  </si>
  <si>
    <t>T_ml_iec</t>
  </si>
  <si>
    <t>Tau_w_iec</t>
  </si>
  <si>
    <t>IEC60076_hotspot,IEC60076_VCS1tl_hotspot,IEC60076_VCS1amb_hotspot,IEC60076_VTP1_hotspot,IEC60354_hotspot,ASNZS60076_hotspot</t>
  </si>
  <si>
    <t>IEC60076_hotspot,IEC60076_VCS1tl_hotspot,IEC60076_VCS1amb_hotspot,IEC60076_VTP1_hotspot,ASNZS60076_hotspot</t>
  </si>
  <si>
    <t>IEC60076_top_liquid,IEC60076_hotspot,IEC60076_VCS2_top_liquid,IEC60076_VTP1_top_liquid,IEC60076_VTP1_hotspot,ASNZS60076_hotspot</t>
  </si>
  <si>
    <t>IEC60076_hotspot,IEC60076_VCS1tl_hotspot,IEC60076_VCS1amb_hotspot,IEC60354_hotspot,ASNZS60076_hotspot</t>
  </si>
  <si>
    <t>Dt_w_r_ONAN</t>
  </si>
  <si>
    <t>Dt_w_r_ONAF1</t>
  </si>
  <si>
    <t>Dt_h_r_ONAN</t>
  </si>
  <si>
    <t>Dt_to_r_ONAN</t>
  </si>
  <si>
    <t>Dt_bo_r_ONAN</t>
  </si>
  <si>
    <t>Dt_h_r_ONAF1</t>
  </si>
  <si>
    <t>Dt_to_r_ONAF1</t>
  </si>
  <si>
    <t>Dt_bo_r_ONAF1</t>
  </si>
  <si>
    <t>Dt_w_r_ONAF2</t>
  </si>
  <si>
    <t>Dt_h_r_ONAF2</t>
  </si>
  <si>
    <t>Dt_to_r_ONAF2</t>
  </si>
  <si>
    <t>Dt_bo_r_ONAF2</t>
  </si>
  <si>
    <t>Dt_w_r</t>
  </si>
  <si>
    <t>Dt_h_r</t>
  </si>
  <si>
    <t>Dt_to_r</t>
  </si>
  <si>
    <t>Dt_bo_r</t>
  </si>
  <si>
    <t>IEEEC57_91_G_top_liquid,IEEEC57_91_G_from_IEEE_top_liquid,IEEEC57_91_G_hotspot</t>
  </si>
  <si>
    <t>IEC60076_VCS2_top_liquid,IEEEC57_91_G_from_IEEE_top_liquid</t>
  </si>
  <si>
    <t>IEEEC57_91_G_hotspot,IEEEC57_91_G_from_IEEE_top_liquid</t>
  </si>
  <si>
    <t>Water content in paper</t>
  </si>
  <si>
    <t>WCP</t>
  </si>
  <si>
    <t>IEEEC57_91_G_from_IEEE_top_liquid</t>
  </si>
  <si>
    <t>"mineral oil", "silicone", "hthc", "fr3"</t>
  </si>
  <si>
    <t>mineral oil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</si>
</sst>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
    <numFmt numFmtId="166" formatCode="0.0000"/>
    <numFmt numFmtId="167" formatCode="0.00000000"/>
  </numFmts>
  <fonts count="24" x14ac:knownFonts="1">
    <font>
      <sz val="10"/>
      <color rgb="FF000000"/>
      <name val="Arial"/>
    </font>
    <font>
      <b/>
      <sz val="10"/>
      <color rgb="FF000000"/>
      <name val="Arial"/>
      <family val="2"/>
    </font>
    <font>
      <b/>
      <sz val="11"/>
      <color theme="1"/>
      <name val="Roboto"/>
      <family val="2"/>
      <scheme val="minor"/>
    </font>
    <font>
      <b/>
      <sz val="16"/>
      <color theme="1"/>
      <name val="Roboto"/>
      <family val="2"/>
      <scheme val="minor"/>
    </font>
    <font>
      <b/>
      <sz val="11"/>
      <color theme="5" tint="-0.249977111117893"/>
      <name val="Roboto"/>
      <family val="2"/>
      <scheme val="minor"/>
    </font>
    <font>
      <i/>
      <sz val="11"/>
      <color theme="4"/>
      <name val="Roboto"/>
      <family val="2"/>
      <scheme val="minor"/>
    </font>
    <font>
      <b/>
      <sz val="14"/>
      <color theme="1"/>
      <name val="Roboto"/>
      <family val="2"/>
      <scheme val="minor"/>
    </font>
    <font>
      <b/>
      <sz val="14"/>
      <color theme="5" tint="-0.249977111117893"/>
      <name val="Roboto"/>
      <family val="2"/>
      <scheme val="minor"/>
    </font>
    <font>
      <b/>
      <i/>
      <sz val="14"/>
      <color theme="4"/>
      <name val="Roboto"/>
      <family val="2"/>
      <scheme val="minor"/>
    </font>
    <font>
      <b/>
      <i/>
      <sz val="11"/>
      <color theme="4"/>
      <name val="Roboto"/>
      <family val="2"/>
      <scheme val="minor"/>
    </font>
    <font>
      <sz val="11"/>
      <name val="Roboto"/>
      <family val="2"/>
      <scheme val="minor"/>
    </font>
    <font>
      <vertAlign val="subscript"/>
      <sz val="11"/>
      <color theme="1"/>
      <name val="Roboto"/>
      <family val="2"/>
      <scheme val="minor"/>
    </font>
    <font>
      <i/>
      <sz val="11"/>
      <color rgb="FFFF0000"/>
      <name val="Roboto"/>
      <family val="2"/>
      <scheme val="minor"/>
    </font>
    <font>
      <sz val="11"/>
      <color theme="1"/>
      <name val="Calibri"/>
      <family val="2"/>
    </font>
    <font>
      <vertAlign val="subscript"/>
      <sz val="11"/>
      <color theme="1"/>
      <name val="Calibri"/>
      <family val="2"/>
    </font>
    <font>
      <sz val="10"/>
      <color rgb="FF000000"/>
      <name val="Arial"/>
      <family val="2"/>
    </font>
    <font>
      <sz val="10"/>
      <color rgb="FFFF0000"/>
      <name val="Arial"/>
      <family val="2"/>
    </font>
    <font>
      <sz val="10"/>
      <name val="Arial"/>
      <family val="2"/>
    </font>
    <font>
      <b/>
      <sz val="10"/>
      <name val="Arial"/>
      <family val="2"/>
    </font>
    <font>
      <sz val="8"/>
      <name val="Arial"/>
      <family val="2"/>
      <charset val="238"/>
    </font>
    <font>
      <sz val="10"/>
      <color rgb="FF000000"/>
      <name val="Arial"/>
      <family val="2"/>
      <charset val="238"/>
    </font>
    <font>
      <u/>
      <sz val="10"/>
      <color theme="10"/>
      <name val="Arial"/>
      <family val="2"/>
      <charset val="238"/>
    </font>
    <font>
      <b/>
      <sz val="16"/>
      <color rgb="FF000000"/>
      <name val="Arial"/>
      <family val="2"/>
    </font>
    <font>
      <b/>
      <sz val="20"/>
      <color rgb="FF000000"/>
      <name val="Arial"/>
      <family val="2"/>
    </font>
  </fonts>
  <fills count="3">
    <fill>
      <patternFill patternType="none"/>
    </fill>
    <fill>
      <patternFill patternType="gray125"/>
    </fill>
    <fill>
      <patternFill patternType="solid">
        <fgColor rgb="FFFFFF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diagonalUp="1" diagonalDown="1">
      <left style="thin">
        <color indexed="64"/>
      </left>
      <right style="thin">
        <color indexed="64"/>
      </right>
      <top style="thin">
        <color indexed="64"/>
      </top>
      <bottom style="thin">
        <color indexed="64"/>
      </bottom>
      <diagonal style="thin">
        <color indexed="64"/>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2">
    <xf numFmtId="0" fontId="0" fillId="0" borderId="0"/>
    <xf numFmtId="0" fontId="21" fillId="0" borderId="0" applyNumberFormat="0" applyFill="0" applyBorder="0" applyAlignment="0" applyProtection="0"/>
  </cellStyleXfs>
  <cellXfs count="80">
    <xf numFmtId="0" fontId="0" fillId="0" borderId="0" xfId="0"/>
    <xf numFmtId="0" fontId="3" fillId="0" borderId="0" xfId="0" applyFont="1"/>
    <xf numFmtId="0" fontId="4" fillId="0" borderId="0" xfId="0" applyFont="1" applyAlignment="1">
      <alignment horizontal="center"/>
    </xf>
    <xf numFmtId="0" fontId="5" fillId="0" borderId="0" xfId="0" applyFont="1"/>
    <xf numFmtId="0" fontId="6" fillId="0" borderId="1" xfId="0" applyFont="1" applyBorder="1"/>
    <xf numFmtId="0" fontId="6" fillId="0" borderId="1" xfId="0" applyFont="1" applyBorder="1" applyAlignment="1">
      <alignment horizontal="left"/>
    </xf>
    <xf numFmtId="0" fontId="8" fillId="0" borderId="1" xfId="0" applyFont="1" applyBorder="1" applyAlignment="1">
      <alignment horizontal="left"/>
    </xf>
    <xf numFmtId="0" fontId="6" fillId="0" borderId="2" xfId="0" applyFont="1" applyBorder="1" applyAlignment="1">
      <alignment horizontal="left"/>
    </xf>
    <xf numFmtId="0" fontId="0" fillId="0" borderId="1" xfId="0" applyBorder="1" applyAlignment="1">
      <alignment horizontal="left"/>
    </xf>
    <xf numFmtId="0" fontId="4" fillId="0" borderId="1" xfId="0" applyFont="1" applyBorder="1" applyAlignment="1">
      <alignment horizontal="left"/>
    </xf>
    <xf numFmtId="0" fontId="9" fillId="0" borderId="1" xfId="0" applyFont="1" applyBorder="1" applyAlignment="1">
      <alignment horizontal="left"/>
    </xf>
    <xf numFmtId="0" fontId="10" fillId="0" borderId="2" xfId="0" applyFont="1" applyBorder="1" applyAlignment="1">
      <alignment horizontal="left"/>
    </xf>
    <xf numFmtId="0" fontId="5" fillId="0" borderId="1" xfId="0" applyFont="1" applyBorder="1" applyAlignment="1">
      <alignment horizontal="left"/>
    </xf>
    <xf numFmtId="0" fontId="2" fillId="0" borderId="1" xfId="0" applyFont="1" applyBorder="1" applyAlignment="1">
      <alignment horizontal="left"/>
    </xf>
    <xf numFmtId="0" fontId="12" fillId="0" borderId="1" xfId="0" applyFont="1" applyBorder="1" applyAlignment="1">
      <alignment horizontal="left"/>
    </xf>
    <xf numFmtId="0" fontId="2" fillId="0" borderId="0" xfId="0" applyFont="1"/>
    <xf numFmtId="0" fontId="2" fillId="0" borderId="0" xfId="0" applyFont="1" applyAlignment="1">
      <alignment horizontal="left"/>
    </xf>
    <xf numFmtId="0" fontId="4" fillId="0" borderId="0" xfId="0" applyFont="1" applyAlignment="1">
      <alignment horizontal="left"/>
    </xf>
    <xf numFmtId="0" fontId="9" fillId="0" borderId="0" xfId="0" applyFont="1" applyAlignment="1">
      <alignment horizontal="left"/>
    </xf>
    <xf numFmtId="0" fontId="0" fillId="0" borderId="1" xfId="0" applyBorder="1"/>
    <xf numFmtId="0" fontId="5" fillId="0" borderId="1" xfId="0" applyFont="1" applyBorder="1"/>
    <xf numFmtId="0" fontId="10" fillId="0" borderId="0" xfId="0" applyFont="1" applyAlignment="1">
      <alignment horizontal="left"/>
    </xf>
    <xf numFmtId="0" fontId="12" fillId="0" borderId="1" xfId="0" applyFont="1" applyBorder="1"/>
    <xf numFmtId="0" fontId="0" fillId="0" borderId="6" xfId="0" applyBorder="1"/>
    <xf numFmtId="1" fontId="0" fillId="0" borderId="0" xfId="0" applyNumberFormat="1"/>
    <xf numFmtId="0" fontId="13" fillId="0" borderId="1" xfId="0" applyFont="1" applyBorder="1"/>
    <xf numFmtId="164" fontId="4" fillId="0" borderId="1" xfId="0" applyNumberFormat="1" applyFont="1" applyBorder="1" applyAlignment="1">
      <alignment horizontal="left"/>
    </xf>
    <xf numFmtId="0" fontId="4" fillId="0" borderId="7" xfId="0" applyFont="1" applyBorder="1" applyAlignment="1">
      <alignment horizontal="left"/>
    </xf>
    <xf numFmtId="0" fontId="0" fillId="0" borderId="8" xfId="0" applyBorder="1" applyAlignment="1">
      <alignment wrapText="1"/>
    </xf>
    <xf numFmtId="164" fontId="4" fillId="0" borderId="0" xfId="0" applyNumberFormat="1" applyFont="1" applyAlignment="1">
      <alignment horizontal="left"/>
    </xf>
    <xf numFmtId="0" fontId="0" fillId="0" borderId="6" xfId="0" applyBorder="1" applyAlignment="1">
      <alignment wrapText="1"/>
    </xf>
    <xf numFmtId="164" fontId="0" fillId="0" borderId="0" xfId="0" applyNumberFormat="1"/>
    <xf numFmtId="164" fontId="2" fillId="0" borderId="0" xfId="0" applyNumberFormat="1" applyFont="1"/>
    <xf numFmtId="164" fontId="4" fillId="0" borderId="0" xfId="0" applyNumberFormat="1" applyFont="1" applyAlignment="1">
      <alignment horizontal="right"/>
    </xf>
    <xf numFmtId="0" fontId="0" fillId="0" borderId="9" xfId="0" applyBorder="1" applyAlignment="1">
      <alignment wrapText="1"/>
    </xf>
    <xf numFmtId="0" fontId="15" fillId="0" borderId="0" xfId="0" applyFont="1"/>
    <xf numFmtId="0" fontId="1" fillId="0" borderId="0" xfId="0" applyFont="1"/>
    <xf numFmtId="0" fontId="1" fillId="0" borderId="0" xfId="0" applyFont="1" applyAlignment="1">
      <alignment wrapText="1"/>
    </xf>
    <xf numFmtId="0" fontId="0" fillId="0" borderId="0" xfId="0" applyAlignment="1">
      <alignment wrapText="1"/>
    </xf>
    <xf numFmtId="0" fontId="15" fillId="0" borderId="0" xfId="0" applyFont="1" applyAlignment="1">
      <alignment wrapText="1"/>
    </xf>
    <xf numFmtId="0" fontId="16" fillId="0" borderId="0" xfId="0" applyFont="1"/>
    <xf numFmtId="0" fontId="17" fillId="0" borderId="0" xfId="0" applyFont="1"/>
    <xf numFmtId="0" fontId="18" fillId="0" borderId="0" xfId="0" applyFont="1" applyAlignment="1">
      <alignment wrapText="1"/>
    </xf>
    <xf numFmtId="2" fontId="0" fillId="0" borderId="0" xfId="0" applyNumberFormat="1"/>
    <xf numFmtId="2" fontId="17" fillId="0" borderId="0" xfId="0" applyNumberFormat="1" applyFont="1"/>
    <xf numFmtId="2" fontId="0" fillId="0" borderId="0" xfId="0" applyNumberFormat="1" applyAlignment="1">
      <alignment wrapText="1"/>
    </xf>
    <xf numFmtId="0" fontId="20" fillId="0" borderId="0" xfId="0" applyFont="1"/>
    <xf numFmtId="166" fontId="17" fillId="0" borderId="0" xfId="0" applyNumberFormat="1" applyFont="1" applyAlignment="1">
      <alignment horizontal="right"/>
    </xf>
    <xf numFmtId="164" fontId="17" fillId="0" borderId="0" xfId="0" applyNumberFormat="1" applyFont="1" applyAlignment="1">
      <alignment horizontal="right"/>
    </xf>
    <xf numFmtId="0" fontId="21" fillId="0" borderId="0" xfId="1"/>
    <xf numFmtId="0" fontId="23" fillId="0" borderId="0" xfId="0" applyFont="1"/>
    <xf numFmtId="0" fontId="21" fillId="0" borderId="0" xfId="1" applyAlignment="1">
      <alignment wrapText="1"/>
    </xf>
    <xf numFmtId="0" fontId="0" fillId="0" borderId="0" xfId="0" applyAlignment="1">
      <alignment horizontal="left" vertical="center" wrapText="1"/>
    </xf>
    <xf numFmtId="0" fontId="22" fillId="0" borderId="0" xfId="0" applyFont="1" applyAlignment="1">
      <alignment vertical="center" wrapText="1"/>
    </xf>
    <xf numFmtId="0" fontId="20" fillId="0" borderId="1" xfId="0" applyFont="1" applyBorder="1"/>
    <xf numFmtId="0" fontId="18" fillId="0" borderId="0" xfId="0" applyFont="1" applyAlignment="1">
      <alignment horizontal="center"/>
    </xf>
    <xf numFmtId="165" fontId="0" fillId="0" borderId="0" xfId="0" applyNumberFormat="1" applyAlignment="1">
      <alignment horizontal="center"/>
    </xf>
    <xf numFmtId="166" fontId="0" fillId="0" borderId="0" xfId="0" applyNumberFormat="1" applyAlignment="1">
      <alignment horizontal="center"/>
    </xf>
    <xf numFmtId="167" fontId="0" fillId="0" borderId="0" xfId="0" applyNumberFormat="1" applyAlignment="1">
      <alignment horizontal="center"/>
    </xf>
    <xf numFmtId="0" fontId="0" fillId="0" borderId="0" xfId="0" applyAlignment="1">
      <alignment horizontal="right"/>
    </xf>
    <xf numFmtId="0" fontId="20" fillId="0" borderId="6" xfId="0" applyFont="1" applyBorder="1" applyAlignment="1">
      <alignment wrapText="1"/>
    </xf>
    <xf numFmtId="0" fontId="0" fillId="2" borderId="0" xfId="0" applyFill="1"/>
    <xf numFmtId="0" fontId="17" fillId="2" borderId="0" xfId="0" applyFont="1" applyFill="1"/>
    <xf numFmtId="0" fontId="15" fillId="2" borderId="0" xfId="0" applyFont="1" applyFill="1"/>
    <xf numFmtId="0" fontId="15" fillId="2" borderId="0" xfId="0" applyFont="1" applyFill="1" applyAlignment="1">
      <alignment wrapText="1"/>
    </xf>
    <xf numFmtId="0" fontId="16" fillId="2" borderId="0" xfId="0" applyFont="1" applyFill="1"/>
    <xf numFmtId="0" fontId="6" fillId="0" borderId="3" xfId="0" applyFont="1" applyBorder="1" applyAlignment="1">
      <alignment horizontal="center" vertical="center"/>
    </xf>
    <xf numFmtId="0" fontId="4" fillId="0" borderId="3" xfId="0" applyFont="1" applyBorder="1" applyAlignment="1">
      <alignment horizontal="left"/>
    </xf>
    <xf numFmtId="0" fontId="4" fillId="0" borderId="4" xfId="0" applyFont="1" applyBorder="1" applyAlignment="1">
      <alignment horizontal="left"/>
    </xf>
    <xf numFmtId="0" fontId="4" fillId="0" borderId="5" xfId="0" applyFont="1" applyBorder="1" applyAlignment="1">
      <alignment horizontal="left"/>
    </xf>
    <xf numFmtId="0" fontId="7" fillId="0" borderId="1" xfId="0" applyFont="1" applyBorder="1" applyAlignment="1">
      <alignment horizontal="left"/>
    </xf>
    <xf numFmtId="0" fontId="6" fillId="0" borderId="1" xfId="0" applyFont="1" applyBorder="1" applyAlignment="1">
      <alignment horizontal="center" vertical="center"/>
    </xf>
    <xf numFmtId="0" fontId="4" fillId="0" borderId="1" xfId="0" applyFont="1" applyBorder="1" applyAlignment="1">
      <alignment horizontal="left"/>
    </xf>
    <xf numFmtId="165" fontId="4" fillId="0" borderId="1" xfId="0" applyNumberFormat="1" applyFont="1" applyBorder="1" applyAlignment="1">
      <alignment horizontal="left"/>
    </xf>
    <xf numFmtId="0" fontId="4" fillId="0" borderId="1" xfId="0" applyFont="1" applyBorder="1" applyAlignment="1">
      <alignment horizontal="center"/>
    </xf>
    <xf numFmtId="0" fontId="0" fillId="0" borderId="0" xfId="0" applyFill="1"/>
    <xf numFmtId="0" fontId="15" fillId="0" borderId="0" xfId="0" applyFont="1" applyFill="1"/>
    <xf numFmtId="0" fontId="17" fillId="0" borderId="0" xfId="0" applyFont="1" applyFill="1"/>
    <xf numFmtId="0" fontId="15" fillId="0" borderId="0" xfId="0" applyFont="1" applyFill="1" applyAlignment="1">
      <alignment wrapText="1"/>
    </xf>
    <xf numFmtId="0" fontId="16" fillId="0" borderId="0" xfId="0" applyFont="1" applyFill="1"/>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9</xdr:col>
      <xdr:colOff>167640</xdr:colOff>
      <xdr:row>22</xdr:row>
      <xdr:rowOff>45197</xdr:rowOff>
    </xdr:from>
    <xdr:ext cx="4078593" cy="2066470"/>
    <xdr:pic>
      <xdr:nvPicPr>
        <xdr:cNvPr id="2" name="Image 1">
          <a:extLst>
            <a:ext uri="{FF2B5EF4-FFF2-40B4-BE49-F238E27FC236}">
              <a16:creationId xmlns:a16="http://schemas.microsoft.com/office/drawing/2014/main" id="{8AD9AE43-FC32-4783-86F2-A3BFA4642BEE}"/>
            </a:ext>
          </a:extLst>
        </xdr:cNvPr>
        <xdr:cNvPicPr>
          <a:picLocks noChangeAspect="1"/>
        </xdr:cNvPicPr>
      </xdr:nvPicPr>
      <xdr:blipFill>
        <a:blip xmlns:r="http://schemas.openxmlformats.org/officeDocument/2006/relationships" r:embed="rId1"/>
        <a:stretch>
          <a:fillRect/>
        </a:stretch>
      </xdr:blipFill>
      <xdr:spPr>
        <a:xfrm>
          <a:off x="17975580" y="4544807"/>
          <a:ext cx="4078593" cy="2066470"/>
        </a:xfrm>
        <a:prstGeom prst="rect">
          <a:avLst/>
        </a:prstGeom>
      </xdr:spPr>
    </xdr:pic>
    <xdr:clientData/>
  </xdr:oneCellAnchor>
  <xdr:oneCellAnchor>
    <xdr:from>
      <xdr:col>9</xdr:col>
      <xdr:colOff>1023258</xdr:colOff>
      <xdr:row>45</xdr:row>
      <xdr:rowOff>21772</xdr:rowOff>
    </xdr:from>
    <xdr:ext cx="3240815" cy="3619862"/>
    <xdr:pic>
      <xdr:nvPicPr>
        <xdr:cNvPr id="3" name="Picture 2">
          <a:extLst>
            <a:ext uri="{FF2B5EF4-FFF2-40B4-BE49-F238E27FC236}">
              <a16:creationId xmlns:a16="http://schemas.microsoft.com/office/drawing/2014/main" id="{D361FC91-A754-4F8A-B5E7-4A528BC53E26}"/>
            </a:ext>
          </a:extLst>
        </xdr:cNvPr>
        <xdr:cNvPicPr>
          <a:picLocks noChangeAspect="1"/>
        </xdr:cNvPicPr>
      </xdr:nvPicPr>
      <xdr:blipFill>
        <a:blip xmlns:r="http://schemas.openxmlformats.org/officeDocument/2006/relationships" r:embed="rId2"/>
        <a:stretch>
          <a:fillRect/>
        </a:stretch>
      </xdr:blipFill>
      <xdr:spPr>
        <a:xfrm>
          <a:off x="18831198" y="9337222"/>
          <a:ext cx="3240815" cy="3619862"/>
        </a:xfrm>
        <a:prstGeom prst="rect">
          <a:avLst/>
        </a:prstGeom>
      </xdr:spPr>
    </xdr:pic>
    <xdr:clientData/>
  </xdr:oneCellAnchor>
  <xdr:oneCellAnchor>
    <xdr:from>
      <xdr:col>10</xdr:col>
      <xdr:colOff>272143</xdr:colOff>
      <xdr:row>4</xdr:row>
      <xdr:rowOff>119742</xdr:rowOff>
    </xdr:from>
    <xdr:ext cx="2771429" cy="3325171"/>
    <xdr:pic>
      <xdr:nvPicPr>
        <xdr:cNvPr id="4" name="Picture 3">
          <a:extLst>
            <a:ext uri="{FF2B5EF4-FFF2-40B4-BE49-F238E27FC236}">
              <a16:creationId xmlns:a16="http://schemas.microsoft.com/office/drawing/2014/main" id="{1C362F75-C9D1-4245-80F9-FFE7A2A96426}"/>
            </a:ext>
          </a:extLst>
        </xdr:cNvPr>
        <xdr:cNvPicPr>
          <a:picLocks noChangeAspect="1"/>
        </xdr:cNvPicPr>
      </xdr:nvPicPr>
      <xdr:blipFill>
        <a:blip xmlns:r="http://schemas.openxmlformats.org/officeDocument/2006/relationships" r:embed="rId3"/>
        <a:stretch>
          <a:fillRect/>
        </a:stretch>
      </xdr:blipFill>
      <xdr:spPr>
        <a:xfrm>
          <a:off x="19291663" y="976992"/>
          <a:ext cx="2771429" cy="3325171"/>
        </a:xfrm>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891AD"/>
      </a:accent1>
      <a:accent2>
        <a:srgbClr val="004561"/>
      </a:accent2>
      <a:accent3>
        <a:srgbClr val="FF6F31"/>
      </a:accent3>
      <a:accent4>
        <a:srgbClr val="1C7685"/>
      </a:accent4>
      <a:accent5>
        <a:srgbClr val="0F45A8"/>
      </a:accent5>
      <a:accent6>
        <a:srgbClr val="4CDC8B"/>
      </a:accent6>
      <a:hlink>
        <a:srgbClr val="0097A7"/>
      </a:hlink>
      <a:folHlink>
        <a:srgbClr val="0097A7"/>
      </a:folHlink>
    </a:clrScheme>
    <a:fontScheme name="Sheets">
      <a:majorFont>
        <a:latin typeface="Roboto"/>
        <a:ea typeface="Roboto"/>
        <a:cs typeface="Roboto"/>
      </a:majorFont>
      <a:minorFont>
        <a:latin typeface="Roboto"/>
        <a:ea typeface="Roboto"/>
        <a:cs typeface="Robo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gnu.org/licenses/gpl-3.0.html" TargetMode="External"/><Relationship Id="rId1" Type="http://schemas.openxmlformats.org/officeDocument/2006/relationships/hyperlink" Target="https://gitlab.com/cigrea2.60/cigre-dttm-benchmarking-platform"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D7C30-74D2-4692-8C3D-29619C0CCCD1}">
  <dimension ref="A1:A21"/>
  <sheetViews>
    <sheetView workbookViewId="0">
      <selection activeCell="A18" sqref="A18:XFD18"/>
    </sheetView>
  </sheetViews>
  <sheetFormatPr baseColWidth="10" defaultColWidth="8.88671875" defaultRowHeight="13.2" x14ac:dyDescent="0.25"/>
  <cols>
    <col min="1" max="1" width="168" customWidth="1"/>
  </cols>
  <sheetData>
    <row r="1" spans="1:1" ht="24.6" x14ac:dyDescent="0.4">
      <c r="A1" s="50" t="s">
        <v>579</v>
      </c>
    </row>
    <row r="3" spans="1:1" x14ac:dyDescent="0.25">
      <c r="A3" s="36" t="s">
        <v>580</v>
      </c>
    </row>
    <row r="5" spans="1:1" x14ac:dyDescent="0.25">
      <c r="A5" s="36" t="s">
        <v>370</v>
      </c>
    </row>
    <row r="6" spans="1:1" x14ac:dyDescent="0.25">
      <c r="A6" s="49" t="s">
        <v>571</v>
      </c>
    </row>
    <row r="8" spans="1:1" x14ac:dyDescent="0.25">
      <c r="A8" s="37" t="s">
        <v>371</v>
      </c>
    </row>
    <row r="9" spans="1:1" x14ac:dyDescent="0.25">
      <c r="A9" s="39" t="s">
        <v>581</v>
      </c>
    </row>
    <row r="10" spans="1:1" x14ac:dyDescent="0.25">
      <c r="A10" s="39" t="s">
        <v>582</v>
      </c>
    </row>
    <row r="11" spans="1:1" x14ac:dyDescent="0.25">
      <c r="A11" s="38"/>
    </row>
    <row r="12" spans="1:1" x14ac:dyDescent="0.25">
      <c r="A12" s="37"/>
    </row>
    <row r="13" spans="1:1" ht="21" x14ac:dyDescent="0.25">
      <c r="A13" s="53" t="s">
        <v>572</v>
      </c>
    </row>
    <row r="14" spans="1:1" x14ac:dyDescent="0.25">
      <c r="A14" s="38"/>
    </row>
    <row r="15" spans="1:1" ht="26.4" x14ac:dyDescent="0.25">
      <c r="A15" s="39" t="s">
        <v>583</v>
      </c>
    </row>
    <row r="16" spans="1:1" ht="26.4" x14ac:dyDescent="0.25">
      <c r="A16" s="51" t="s">
        <v>573</v>
      </c>
    </row>
    <row r="17" spans="1:1" x14ac:dyDescent="0.25">
      <c r="A17" s="38" t="s">
        <v>574</v>
      </c>
    </row>
    <row r="18" spans="1:1" x14ac:dyDescent="0.25">
      <c r="A18" s="52" t="s">
        <v>575</v>
      </c>
    </row>
    <row r="19" spans="1:1" ht="15" customHeight="1" x14ac:dyDescent="0.25">
      <c r="A19" s="52" t="s">
        <v>576</v>
      </c>
    </row>
    <row r="20" spans="1:1" ht="26.4" x14ac:dyDescent="0.25">
      <c r="A20" s="52" t="s">
        <v>577</v>
      </c>
    </row>
    <row r="21" spans="1:1" ht="65.55" customHeight="1" x14ac:dyDescent="0.25">
      <c r="A21" s="38" t="s">
        <v>578</v>
      </c>
    </row>
  </sheetData>
  <hyperlinks>
    <hyperlink ref="A6" r:id="rId1" xr:uid="{0A9C4857-2DFB-417A-ADDF-71ACA6EAE572}"/>
    <hyperlink ref="A16" r:id="rId2" display="https://www.gnu.org/licenses/gpl-3.0.html" xr:uid="{D268FBC4-E672-4A78-9747-9D167269ECB5}"/>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2AD34-7036-4F28-A445-7D669163624C}">
  <dimension ref="A1:J100"/>
  <sheetViews>
    <sheetView topLeftCell="A32" zoomScale="85" zoomScaleNormal="85" workbookViewId="0">
      <selection activeCell="G59" sqref="G59"/>
    </sheetView>
  </sheetViews>
  <sheetFormatPr baseColWidth="10" defaultColWidth="9.109375" defaultRowHeight="14.4" x14ac:dyDescent="0.3"/>
  <cols>
    <col min="1" max="1" width="26.109375" customWidth="1"/>
    <col min="2" max="2" width="68.6640625" customWidth="1"/>
    <col min="3" max="3" width="11.33203125" bestFit="1" customWidth="1"/>
    <col min="4" max="4" width="9.6640625" customWidth="1"/>
    <col min="5" max="5" width="13" style="2" customWidth="1"/>
    <col min="6" max="6" width="13.6640625" style="2" customWidth="1"/>
    <col min="7" max="7" width="11.77734375" style="2" customWidth="1"/>
    <col min="8" max="8" width="8.44140625" style="2" customWidth="1"/>
    <col min="9" max="9" width="105.88671875" style="3" customWidth="1"/>
    <col min="10" max="10" width="17.6640625" customWidth="1"/>
  </cols>
  <sheetData>
    <row r="1" spans="1:10" ht="21" x14ac:dyDescent="0.4">
      <c r="A1" s="1" t="s">
        <v>249</v>
      </c>
    </row>
    <row r="3" spans="1:10" ht="18" x14ac:dyDescent="0.35">
      <c r="A3" s="4" t="s">
        <v>250</v>
      </c>
      <c r="B3" s="5" t="s">
        <v>251</v>
      </c>
      <c r="C3" s="5" t="s">
        <v>252</v>
      </c>
      <c r="D3" s="5" t="s">
        <v>253</v>
      </c>
      <c r="E3" s="70" t="s">
        <v>254</v>
      </c>
      <c r="F3" s="70"/>
      <c r="G3" s="70"/>
      <c r="H3" s="70"/>
      <c r="I3" s="6" t="s">
        <v>255</v>
      </c>
      <c r="J3" s="7"/>
    </row>
    <row r="4" spans="1:10" ht="14.4" customHeight="1" x14ac:dyDescent="0.3">
      <c r="A4" s="71" t="s">
        <v>2</v>
      </c>
      <c r="B4" s="8" t="s">
        <v>256</v>
      </c>
      <c r="C4" s="8" t="s">
        <v>257</v>
      </c>
      <c r="D4" s="8" t="s">
        <v>49</v>
      </c>
      <c r="E4" s="9" t="s">
        <v>258</v>
      </c>
      <c r="F4" s="9" t="s">
        <v>259</v>
      </c>
      <c r="G4" s="9" t="s">
        <v>49</v>
      </c>
      <c r="H4" s="9" t="s">
        <v>49</v>
      </c>
      <c r="I4" s="10"/>
      <c r="J4" s="11"/>
    </row>
    <row r="5" spans="1:10" ht="15.6" customHeight="1" x14ac:dyDescent="0.35">
      <c r="A5" s="71"/>
      <c r="B5" s="8" t="s">
        <v>260</v>
      </c>
      <c r="C5" s="8" t="s">
        <v>261</v>
      </c>
      <c r="D5" s="8" t="s">
        <v>116</v>
      </c>
      <c r="E5" s="9">
        <v>225</v>
      </c>
      <c r="F5" s="9">
        <v>26.4</v>
      </c>
      <c r="G5" s="9" t="s">
        <v>49</v>
      </c>
      <c r="H5" s="9" t="s">
        <v>49</v>
      </c>
      <c r="I5" s="12" t="s">
        <v>118</v>
      </c>
      <c r="J5" s="11"/>
    </row>
    <row r="6" spans="1:10" ht="15.6" customHeight="1" x14ac:dyDescent="0.35">
      <c r="A6" s="71"/>
      <c r="B6" s="8" t="s">
        <v>262</v>
      </c>
      <c r="C6" s="8" t="s">
        <v>263</v>
      </c>
      <c r="D6" s="8" t="s">
        <v>120</v>
      </c>
      <c r="E6" s="9">
        <v>66</v>
      </c>
      <c r="F6" s="9">
        <v>66</v>
      </c>
      <c r="G6" s="9" t="s">
        <v>49</v>
      </c>
      <c r="H6" s="9" t="s">
        <v>49</v>
      </c>
      <c r="I6" s="12"/>
      <c r="J6" s="11"/>
    </row>
    <row r="7" spans="1:10" ht="14.4" customHeight="1" x14ac:dyDescent="0.3">
      <c r="A7" s="71"/>
      <c r="B7" s="8" t="s">
        <v>122</v>
      </c>
      <c r="C7" s="8" t="s">
        <v>123</v>
      </c>
      <c r="D7" s="13" t="s">
        <v>49</v>
      </c>
      <c r="E7" s="9" t="s">
        <v>264</v>
      </c>
      <c r="F7" s="9" t="s">
        <v>265</v>
      </c>
      <c r="G7" s="9" t="s">
        <v>49</v>
      </c>
      <c r="H7" s="9" t="s">
        <v>49</v>
      </c>
      <c r="I7" s="12" t="s">
        <v>266</v>
      </c>
    </row>
    <row r="8" spans="1:10" ht="14.4" customHeight="1" x14ac:dyDescent="0.3">
      <c r="A8" s="71"/>
      <c r="B8" s="8" t="s">
        <v>125</v>
      </c>
      <c r="C8" s="8" t="s">
        <v>126</v>
      </c>
      <c r="D8" s="13" t="s">
        <v>49</v>
      </c>
      <c r="E8" s="9" t="s">
        <v>267</v>
      </c>
      <c r="F8" s="9" t="s">
        <v>268</v>
      </c>
      <c r="G8" s="9" t="s">
        <v>49</v>
      </c>
      <c r="H8" s="9" t="s">
        <v>49</v>
      </c>
      <c r="I8" s="12" t="s">
        <v>269</v>
      </c>
      <c r="J8" s="11"/>
    </row>
    <row r="9" spans="1:10" ht="18" customHeight="1" x14ac:dyDescent="0.3">
      <c r="A9" s="71"/>
      <c r="B9" s="8" t="s">
        <v>270</v>
      </c>
      <c r="C9" s="8" t="s">
        <v>271</v>
      </c>
      <c r="D9" s="8" t="s">
        <v>116</v>
      </c>
      <c r="E9" s="9">
        <v>202.5</v>
      </c>
      <c r="F9" s="9" t="s">
        <v>49</v>
      </c>
      <c r="G9" s="9" t="s">
        <v>49</v>
      </c>
      <c r="H9" s="9" t="s">
        <v>49</v>
      </c>
      <c r="I9" s="14" t="s">
        <v>272</v>
      </c>
      <c r="J9" s="11"/>
    </row>
    <row r="10" spans="1:10" ht="18" customHeight="1" x14ac:dyDescent="0.3">
      <c r="A10" s="71"/>
      <c r="B10" s="8" t="s">
        <v>273</v>
      </c>
      <c r="C10" s="8" t="s">
        <v>274</v>
      </c>
      <c r="D10" s="8" t="s">
        <v>116</v>
      </c>
      <c r="E10" s="9">
        <v>225</v>
      </c>
      <c r="F10" s="9" t="s">
        <v>49</v>
      </c>
      <c r="G10" s="9" t="s">
        <v>49</v>
      </c>
      <c r="H10" s="9" t="s">
        <v>49</v>
      </c>
      <c r="I10" s="12"/>
      <c r="J10" s="11"/>
    </row>
    <row r="11" spans="1:10" ht="18" customHeight="1" x14ac:dyDescent="0.3">
      <c r="A11" s="71"/>
      <c r="B11" s="8" t="s">
        <v>275</v>
      </c>
      <c r="C11" s="8" t="s">
        <v>276</v>
      </c>
      <c r="D11" s="8" t="s">
        <v>116</v>
      </c>
      <c r="E11" s="9">
        <v>247.5</v>
      </c>
      <c r="F11" s="9" t="s">
        <v>49</v>
      </c>
      <c r="G11" s="9" t="s">
        <v>49</v>
      </c>
      <c r="H11" s="9" t="s">
        <v>49</v>
      </c>
      <c r="I11" s="12"/>
      <c r="J11" s="11"/>
    </row>
    <row r="12" spans="1:10" ht="18" customHeight="1" x14ac:dyDescent="0.3">
      <c r="A12" s="71"/>
      <c r="B12" s="8" t="s">
        <v>134</v>
      </c>
      <c r="C12" s="8" t="s">
        <v>277</v>
      </c>
      <c r="D12" s="13" t="s">
        <v>135</v>
      </c>
      <c r="E12" s="9">
        <v>1.25</v>
      </c>
      <c r="F12" s="9" t="s">
        <v>49</v>
      </c>
      <c r="G12" s="9" t="s">
        <v>49</v>
      </c>
      <c r="H12" s="9" t="s">
        <v>49</v>
      </c>
      <c r="I12" s="12"/>
      <c r="J12" s="11"/>
    </row>
    <row r="13" spans="1:10" x14ac:dyDescent="0.3">
      <c r="A13" s="15"/>
      <c r="B13" s="16"/>
      <c r="C13" s="16"/>
      <c r="D13" s="16"/>
      <c r="E13" s="17"/>
      <c r="F13" s="17"/>
      <c r="G13" s="17"/>
      <c r="H13" s="17"/>
      <c r="I13" s="18"/>
    </row>
    <row r="14" spans="1:10" ht="15.6" customHeight="1" x14ac:dyDescent="0.35">
      <c r="A14" s="71" t="s">
        <v>4</v>
      </c>
      <c r="B14" s="19" t="s">
        <v>137</v>
      </c>
      <c r="C14" s="19" t="s">
        <v>278</v>
      </c>
      <c r="D14" s="19" t="s">
        <v>138</v>
      </c>
      <c r="E14" s="72">
        <v>4520</v>
      </c>
      <c r="F14" s="72"/>
      <c r="G14" s="72"/>
      <c r="H14" s="72"/>
      <c r="I14" s="20"/>
      <c r="J14" s="21"/>
    </row>
    <row r="15" spans="1:10" ht="15.6" customHeight="1" x14ac:dyDescent="0.35">
      <c r="A15" s="71"/>
      <c r="B15" s="19" t="s">
        <v>140</v>
      </c>
      <c r="C15" s="19" t="s">
        <v>279</v>
      </c>
      <c r="D15" s="19" t="s">
        <v>138</v>
      </c>
      <c r="E15" s="72">
        <v>2560</v>
      </c>
      <c r="F15" s="72"/>
      <c r="G15" s="72"/>
      <c r="H15" s="72"/>
      <c r="I15" s="20"/>
      <c r="J15" s="21"/>
    </row>
    <row r="16" spans="1:10" ht="15.6" customHeight="1" x14ac:dyDescent="0.35">
      <c r="A16" s="71"/>
      <c r="B16" s="19" t="s">
        <v>142</v>
      </c>
      <c r="C16" s="19" t="s">
        <v>280</v>
      </c>
      <c r="D16" s="19" t="s">
        <v>138</v>
      </c>
      <c r="E16" s="72">
        <v>3369</v>
      </c>
      <c r="F16" s="72"/>
      <c r="G16" s="72"/>
      <c r="H16" s="72"/>
      <c r="I16" s="20"/>
      <c r="J16" s="21"/>
    </row>
    <row r="17" spans="1:10" ht="15.6" customHeight="1" x14ac:dyDescent="0.35">
      <c r="A17" s="71"/>
      <c r="B17" s="19" t="s">
        <v>281</v>
      </c>
      <c r="C17" s="19" t="s">
        <v>282</v>
      </c>
      <c r="D17" s="19" t="s">
        <v>145</v>
      </c>
      <c r="E17" s="72">
        <f>40.733*0.8</f>
        <v>32.586399999999998</v>
      </c>
      <c r="F17" s="72"/>
      <c r="G17" s="72"/>
      <c r="H17" s="72"/>
      <c r="I17" s="22" t="s">
        <v>283</v>
      </c>
    </row>
    <row r="18" spans="1:10" ht="15.6" customHeight="1" x14ac:dyDescent="0.35">
      <c r="A18" s="71"/>
      <c r="B18" s="19" t="s">
        <v>284</v>
      </c>
      <c r="C18" s="19" t="s">
        <v>285</v>
      </c>
      <c r="D18" s="19" t="s">
        <v>138</v>
      </c>
      <c r="E18" s="72">
        <v>800</v>
      </c>
      <c r="F18" s="72"/>
      <c r="G18" s="72"/>
      <c r="H18" s="72"/>
      <c r="I18" s="20" t="s">
        <v>149</v>
      </c>
      <c r="J18" s="21"/>
    </row>
    <row r="19" spans="1:10" ht="14.4" customHeight="1" x14ac:dyDescent="0.3">
      <c r="A19" s="71"/>
      <c r="B19" s="19" t="s">
        <v>150</v>
      </c>
      <c r="C19" s="19" t="s">
        <v>151</v>
      </c>
      <c r="D19" s="19" t="s">
        <v>49</v>
      </c>
      <c r="E19" s="72" t="s">
        <v>286</v>
      </c>
      <c r="F19" s="72"/>
      <c r="G19" s="72"/>
      <c r="H19" s="72"/>
      <c r="I19" s="20" t="s">
        <v>287</v>
      </c>
    </row>
    <row r="20" spans="1:10" ht="15.6" customHeight="1" x14ac:dyDescent="0.35">
      <c r="A20" s="71"/>
      <c r="B20" s="19" t="s">
        <v>153</v>
      </c>
      <c r="C20" s="19" t="s">
        <v>288</v>
      </c>
      <c r="D20" s="19" t="s">
        <v>138</v>
      </c>
      <c r="E20" s="72">
        <v>410</v>
      </c>
      <c r="F20" s="72"/>
      <c r="G20" s="72"/>
      <c r="H20" s="72"/>
    </row>
    <row r="21" spans="1:10" ht="18" customHeight="1" x14ac:dyDescent="0.35">
      <c r="A21" s="71"/>
      <c r="B21" s="19" t="s">
        <v>155</v>
      </c>
      <c r="C21" s="19" t="s">
        <v>289</v>
      </c>
      <c r="D21" s="19" t="s">
        <v>156</v>
      </c>
      <c r="E21" s="72">
        <v>59.9</v>
      </c>
      <c r="F21" s="72"/>
      <c r="G21" s="72"/>
      <c r="H21" s="72"/>
      <c r="I21" s="20"/>
    </row>
    <row r="22" spans="1:10" x14ac:dyDescent="0.3">
      <c r="E22" s="17"/>
      <c r="F22" s="17"/>
      <c r="G22" s="17"/>
      <c r="H22" s="17"/>
    </row>
    <row r="23" spans="1:10" ht="15.6" x14ac:dyDescent="0.35">
      <c r="A23" s="71" t="s">
        <v>6</v>
      </c>
      <c r="B23" s="19" t="s">
        <v>158</v>
      </c>
      <c r="C23" s="19" t="s">
        <v>290</v>
      </c>
      <c r="D23" s="19" t="s">
        <v>138</v>
      </c>
      <c r="E23" s="72">
        <v>587</v>
      </c>
      <c r="F23" s="72"/>
      <c r="G23" s="72"/>
      <c r="H23" s="72"/>
      <c r="I23" s="20"/>
    </row>
    <row r="24" spans="1:10" ht="15.6" x14ac:dyDescent="0.35">
      <c r="A24" s="71"/>
      <c r="B24" s="19" t="s">
        <v>160</v>
      </c>
      <c r="C24" s="19" t="s">
        <v>291</v>
      </c>
      <c r="D24" s="19" t="s">
        <v>138</v>
      </c>
      <c r="E24" s="72">
        <v>1690</v>
      </c>
      <c r="F24" s="72"/>
      <c r="G24" s="72"/>
      <c r="H24" s="72"/>
      <c r="I24" s="20" t="s">
        <v>292</v>
      </c>
    </row>
    <row r="25" spans="1:10" ht="15.6" x14ac:dyDescent="0.35">
      <c r="A25" s="71"/>
      <c r="B25" s="19" t="s">
        <v>162</v>
      </c>
      <c r="C25" s="19" t="s">
        <v>293</v>
      </c>
      <c r="D25" s="19" t="s">
        <v>138</v>
      </c>
      <c r="E25" s="72">
        <v>587</v>
      </c>
      <c r="F25" s="72"/>
      <c r="G25" s="72"/>
      <c r="H25" s="72"/>
      <c r="I25" s="20"/>
    </row>
    <row r="26" spans="1:10" ht="15.6" x14ac:dyDescent="0.35">
      <c r="A26" s="71"/>
      <c r="B26" s="19" t="s">
        <v>164</v>
      </c>
      <c r="C26" s="19" t="s">
        <v>294</v>
      </c>
      <c r="D26" s="19" t="s">
        <v>138</v>
      </c>
      <c r="E26" s="72">
        <v>1272</v>
      </c>
      <c r="F26" s="72"/>
      <c r="G26" s="72"/>
      <c r="H26" s="72"/>
      <c r="I26" s="20"/>
    </row>
    <row r="27" spans="1:10" ht="15.6" x14ac:dyDescent="0.35">
      <c r="A27" s="71"/>
      <c r="B27" s="19" t="s">
        <v>166</v>
      </c>
      <c r="C27" s="19" t="s">
        <v>295</v>
      </c>
      <c r="D27" s="19" t="s">
        <v>167</v>
      </c>
      <c r="E27" s="72">
        <v>22500</v>
      </c>
      <c r="F27" s="72"/>
      <c r="G27" s="72"/>
      <c r="H27" s="72"/>
      <c r="I27" s="20" t="s">
        <v>296</v>
      </c>
    </row>
    <row r="28" spans="1:10" ht="15.6" x14ac:dyDescent="0.35">
      <c r="A28" s="71"/>
      <c r="B28" s="19" t="s">
        <v>169</v>
      </c>
      <c r="C28" s="19" t="s">
        <v>297</v>
      </c>
      <c r="D28" s="19" t="s">
        <v>49</v>
      </c>
      <c r="E28" s="72">
        <v>3</v>
      </c>
      <c r="F28" s="72"/>
      <c r="G28" s="72"/>
      <c r="H28" s="72"/>
      <c r="I28" s="20"/>
    </row>
    <row r="29" spans="1:10" ht="15.6" x14ac:dyDescent="0.35">
      <c r="A29" s="71"/>
      <c r="B29" s="19" t="s">
        <v>171</v>
      </c>
      <c r="C29" s="19" t="s">
        <v>298</v>
      </c>
      <c r="D29" s="19" t="s">
        <v>156</v>
      </c>
      <c r="E29" s="67">
        <v>50.3</v>
      </c>
      <c r="F29" s="68"/>
      <c r="G29" s="68"/>
      <c r="H29" s="69"/>
      <c r="I29" s="20"/>
    </row>
    <row r="30" spans="1:10" ht="15.6" x14ac:dyDescent="0.35">
      <c r="A30" s="71"/>
      <c r="B30" s="19" t="s">
        <v>173</v>
      </c>
      <c r="C30" s="19" t="s">
        <v>299</v>
      </c>
      <c r="D30" s="19" t="s">
        <v>61</v>
      </c>
      <c r="E30" s="67"/>
      <c r="F30" s="68"/>
      <c r="G30" s="68"/>
      <c r="H30" s="69"/>
      <c r="I30" s="20" t="s">
        <v>175</v>
      </c>
    </row>
    <row r="31" spans="1:10" ht="15.6" x14ac:dyDescent="0.35">
      <c r="A31" s="71"/>
      <c r="B31" s="19" t="s">
        <v>176</v>
      </c>
      <c r="C31" s="19" t="s">
        <v>300</v>
      </c>
      <c r="D31" s="19" t="s">
        <v>61</v>
      </c>
      <c r="E31" s="67"/>
      <c r="F31" s="68"/>
      <c r="G31" s="68"/>
      <c r="H31" s="69"/>
      <c r="I31" s="20" t="s">
        <v>175</v>
      </c>
    </row>
    <row r="32" spans="1:10" ht="15.6" x14ac:dyDescent="0.35">
      <c r="A32" s="71"/>
      <c r="B32" s="19" t="s">
        <v>301</v>
      </c>
      <c r="C32" s="19" t="s">
        <v>302</v>
      </c>
      <c r="D32" s="19" t="s">
        <v>61</v>
      </c>
      <c r="E32" s="67"/>
      <c r="F32" s="68"/>
      <c r="G32" s="68"/>
      <c r="H32" s="69"/>
      <c r="I32" s="20" t="s">
        <v>175</v>
      </c>
    </row>
    <row r="33" spans="1:10" x14ac:dyDescent="0.3">
      <c r="D33" s="23" t="s">
        <v>172</v>
      </c>
    </row>
    <row r="34" spans="1:10" x14ac:dyDescent="0.3">
      <c r="A34" s="71" t="s">
        <v>7</v>
      </c>
      <c r="B34" s="19" t="s">
        <v>180</v>
      </c>
      <c r="C34" s="19" t="s">
        <v>181</v>
      </c>
      <c r="D34" s="19" t="s">
        <v>49</v>
      </c>
      <c r="E34" s="9" t="s">
        <v>259</v>
      </c>
      <c r="F34" s="9" t="s">
        <v>258</v>
      </c>
      <c r="G34" s="9" t="s">
        <v>49</v>
      </c>
      <c r="H34" s="9" t="s">
        <v>49</v>
      </c>
      <c r="I34" s="20"/>
    </row>
    <row r="35" spans="1:10" ht="15.6" x14ac:dyDescent="0.35">
      <c r="A35" s="71"/>
      <c r="B35" s="19" t="s">
        <v>182</v>
      </c>
      <c r="C35" s="19" t="s">
        <v>303</v>
      </c>
      <c r="D35" s="19" t="s">
        <v>138</v>
      </c>
      <c r="E35" s="9">
        <v>650</v>
      </c>
      <c r="F35" s="9">
        <v>960</v>
      </c>
      <c r="G35" s="9" t="s">
        <v>49</v>
      </c>
      <c r="H35" s="9" t="s">
        <v>49</v>
      </c>
      <c r="I35" s="20"/>
    </row>
    <row r="36" spans="1:10" ht="15.6" x14ac:dyDescent="0.35">
      <c r="A36" s="71"/>
      <c r="B36" s="19" t="s">
        <v>184</v>
      </c>
      <c r="C36" s="19" t="s">
        <v>304</v>
      </c>
      <c r="D36" s="19" t="s">
        <v>138</v>
      </c>
      <c r="E36" s="9">
        <v>752</v>
      </c>
      <c r="F36" s="9">
        <v>1122</v>
      </c>
      <c r="G36" s="9" t="s">
        <v>49</v>
      </c>
      <c r="H36" s="9" t="s">
        <v>49</v>
      </c>
      <c r="I36" s="20"/>
    </row>
    <row r="37" spans="1:10" ht="15.6" x14ac:dyDescent="0.35">
      <c r="A37" s="71"/>
      <c r="B37" s="19" t="s">
        <v>186</v>
      </c>
      <c r="C37" s="19" t="s">
        <v>305</v>
      </c>
      <c r="D37" s="19" t="s">
        <v>138</v>
      </c>
      <c r="E37" s="9">
        <v>1499</v>
      </c>
      <c r="F37" s="9">
        <v>1499</v>
      </c>
      <c r="G37" s="9" t="s">
        <v>49</v>
      </c>
      <c r="H37" s="9" t="s">
        <v>49</v>
      </c>
      <c r="I37" s="20"/>
    </row>
    <row r="38" spans="1:10" ht="15.6" x14ac:dyDescent="0.35">
      <c r="A38" s="71"/>
      <c r="B38" s="19" t="s">
        <v>188</v>
      </c>
      <c r="C38" s="19" t="s">
        <v>306</v>
      </c>
      <c r="D38" s="19" t="s">
        <v>138</v>
      </c>
      <c r="E38" s="9">
        <v>326</v>
      </c>
      <c r="F38" s="9">
        <v>392</v>
      </c>
      <c r="G38" s="9" t="s">
        <v>49</v>
      </c>
      <c r="H38" s="9" t="s">
        <v>49</v>
      </c>
      <c r="I38" s="20" t="s">
        <v>307</v>
      </c>
      <c r="J38" s="24"/>
    </row>
    <row r="39" spans="1:10" ht="15.6" x14ac:dyDescent="0.35">
      <c r="A39" s="71"/>
      <c r="B39" s="19" t="s">
        <v>190</v>
      </c>
      <c r="C39" s="19" t="s">
        <v>308</v>
      </c>
      <c r="D39" s="19" t="s">
        <v>138</v>
      </c>
      <c r="E39" s="9">
        <f>8.9+5.92</f>
        <v>14.82</v>
      </c>
      <c r="F39" s="9">
        <f>10+9</f>
        <v>19</v>
      </c>
      <c r="G39" s="9" t="s">
        <v>49</v>
      </c>
      <c r="H39" s="9" t="s">
        <v>49</v>
      </c>
      <c r="I39" s="20" t="s">
        <v>309</v>
      </c>
    </row>
    <row r="40" spans="1:10" ht="15.6" x14ac:dyDescent="0.35">
      <c r="A40" s="71"/>
      <c r="B40" s="19" t="s">
        <v>192</v>
      </c>
      <c r="C40" s="19" t="s">
        <v>310</v>
      </c>
      <c r="D40" s="19" t="s">
        <v>138</v>
      </c>
      <c r="E40" s="9">
        <v>113</v>
      </c>
      <c r="F40" s="9">
        <v>113</v>
      </c>
      <c r="G40" s="9" t="s">
        <v>49</v>
      </c>
      <c r="H40" s="9" t="s">
        <v>49</v>
      </c>
      <c r="I40" s="20"/>
    </row>
    <row r="41" spans="1:10" ht="15.6" x14ac:dyDescent="0.35">
      <c r="A41" s="71"/>
      <c r="B41" s="19" t="s">
        <v>194</v>
      </c>
      <c r="C41" s="19" t="s">
        <v>311</v>
      </c>
      <c r="D41" s="19" t="s">
        <v>138</v>
      </c>
      <c r="E41" s="9">
        <v>78</v>
      </c>
      <c r="F41" s="9">
        <v>78</v>
      </c>
      <c r="G41" s="9" t="s">
        <v>49</v>
      </c>
      <c r="H41" s="9" t="s">
        <v>49</v>
      </c>
      <c r="I41" s="20"/>
    </row>
    <row r="42" spans="1:10" ht="15.6" x14ac:dyDescent="0.35">
      <c r="A42" s="71"/>
      <c r="B42" s="19" t="s">
        <v>196</v>
      </c>
      <c r="C42" s="19" t="s">
        <v>312</v>
      </c>
      <c r="D42" s="19" t="s">
        <v>167</v>
      </c>
      <c r="E42" s="9">
        <v>3187</v>
      </c>
      <c r="F42" s="9">
        <v>7516</v>
      </c>
      <c r="G42" s="9" t="s">
        <v>49</v>
      </c>
      <c r="H42" s="9" t="s">
        <v>49</v>
      </c>
      <c r="I42" s="20"/>
    </row>
    <row r="43" spans="1:10" ht="15.6" x14ac:dyDescent="0.35">
      <c r="A43" s="71"/>
      <c r="B43" s="19" t="s">
        <v>198</v>
      </c>
      <c r="C43" s="19" t="s">
        <v>313</v>
      </c>
      <c r="D43" s="19" t="s">
        <v>167</v>
      </c>
      <c r="E43" s="9"/>
      <c r="F43" s="9"/>
      <c r="G43" s="9" t="s">
        <v>49</v>
      </c>
      <c r="H43" s="9" t="s">
        <v>49</v>
      </c>
      <c r="I43" s="20" t="s">
        <v>175</v>
      </c>
    </row>
    <row r="44" spans="1:10" x14ac:dyDescent="0.3">
      <c r="A44" s="71"/>
      <c r="B44" s="19" t="s">
        <v>200</v>
      </c>
      <c r="C44" s="19" t="s">
        <v>201</v>
      </c>
      <c r="D44" s="19" t="s">
        <v>49</v>
      </c>
      <c r="E44" s="9" t="s">
        <v>314</v>
      </c>
      <c r="F44" s="9" t="s">
        <v>314</v>
      </c>
      <c r="G44" s="9" t="s">
        <v>49</v>
      </c>
      <c r="H44" s="9" t="s">
        <v>49</v>
      </c>
      <c r="I44" s="20" t="s">
        <v>315</v>
      </c>
    </row>
    <row r="45" spans="1:10" ht="15.6" x14ac:dyDescent="0.35">
      <c r="A45" s="71"/>
      <c r="B45" s="19" t="s">
        <v>203</v>
      </c>
      <c r="C45" s="19" t="s">
        <v>316</v>
      </c>
      <c r="D45" s="25" t="s">
        <v>204</v>
      </c>
      <c r="E45" s="9">
        <v>6.2619999999999995E-2</v>
      </c>
      <c r="F45" s="9">
        <v>2.33433</v>
      </c>
      <c r="G45" s="9" t="s">
        <v>49</v>
      </c>
      <c r="H45" s="9" t="s">
        <v>49</v>
      </c>
      <c r="I45" s="20"/>
    </row>
    <row r="46" spans="1:10" ht="15.6" x14ac:dyDescent="0.35">
      <c r="A46" s="71"/>
      <c r="B46" s="19" t="s">
        <v>206</v>
      </c>
      <c r="C46" s="19" t="s">
        <v>317</v>
      </c>
      <c r="D46" s="19" t="s">
        <v>156</v>
      </c>
      <c r="E46" s="9"/>
      <c r="F46" s="9"/>
      <c r="G46" s="9" t="s">
        <v>49</v>
      </c>
      <c r="H46" s="9" t="s">
        <v>49</v>
      </c>
      <c r="I46" s="22"/>
    </row>
    <row r="47" spans="1:10" ht="15.6" x14ac:dyDescent="0.35">
      <c r="A47" s="71"/>
      <c r="B47" s="19" t="s">
        <v>318</v>
      </c>
      <c r="C47" s="19" t="s">
        <v>319</v>
      </c>
      <c r="D47" s="19" t="s">
        <v>156</v>
      </c>
      <c r="E47" s="26">
        <v>23.03</v>
      </c>
      <c r="F47" s="9">
        <v>10.16</v>
      </c>
      <c r="G47" s="9" t="s">
        <v>49</v>
      </c>
      <c r="H47" s="9" t="s">
        <v>49</v>
      </c>
      <c r="I47" s="20"/>
    </row>
    <row r="48" spans="1:10" ht="15.6" x14ac:dyDescent="0.35">
      <c r="A48" s="71"/>
      <c r="B48" s="19" t="s">
        <v>320</v>
      </c>
      <c r="C48" s="19" t="s">
        <v>321</v>
      </c>
      <c r="D48" s="19" t="s">
        <v>156</v>
      </c>
      <c r="E48" s="9"/>
      <c r="F48" s="9"/>
      <c r="G48" s="9" t="s">
        <v>49</v>
      </c>
      <c r="H48" s="9" t="s">
        <v>49</v>
      </c>
      <c r="I48" s="22"/>
    </row>
    <row r="49" spans="1:9" ht="15.6" x14ac:dyDescent="0.35">
      <c r="A49" s="71"/>
      <c r="B49" s="19" t="s">
        <v>212</v>
      </c>
      <c r="C49" s="19" t="s">
        <v>322</v>
      </c>
      <c r="D49" s="19" t="s">
        <v>61</v>
      </c>
      <c r="E49" s="9">
        <f>61.6-33.85</f>
        <v>27.75</v>
      </c>
      <c r="F49" s="26">
        <f>46.9-33.85</f>
        <v>13.049999999999997</v>
      </c>
      <c r="G49" s="26" t="s">
        <v>49</v>
      </c>
      <c r="H49" s="9" t="s">
        <v>49</v>
      </c>
      <c r="I49" s="20" t="s">
        <v>323</v>
      </c>
    </row>
    <row r="50" spans="1:9" ht="15.6" x14ac:dyDescent="0.35">
      <c r="A50" s="71"/>
      <c r="B50" s="19" t="s">
        <v>214</v>
      </c>
      <c r="C50" s="19" t="s">
        <v>324</v>
      </c>
      <c r="D50" s="19" t="s">
        <v>61</v>
      </c>
      <c r="E50" s="9"/>
      <c r="F50" s="9"/>
      <c r="G50" s="9" t="s">
        <v>49</v>
      </c>
      <c r="H50" s="9" t="s">
        <v>49</v>
      </c>
      <c r="I50" s="20" t="s">
        <v>325</v>
      </c>
    </row>
    <row r="51" spans="1:9" ht="15.6" x14ac:dyDescent="0.35">
      <c r="A51" s="71"/>
      <c r="B51" s="19" t="s">
        <v>326</v>
      </c>
      <c r="C51" s="19" t="s">
        <v>327</v>
      </c>
      <c r="D51" s="19" t="s">
        <v>61</v>
      </c>
      <c r="E51" s="9"/>
      <c r="F51" s="9"/>
      <c r="G51" s="9" t="s">
        <v>49</v>
      </c>
      <c r="H51" s="9" t="s">
        <v>49</v>
      </c>
      <c r="I51" s="22"/>
    </row>
    <row r="52" spans="1:9" ht="15.6" x14ac:dyDescent="0.35">
      <c r="A52" s="71"/>
      <c r="B52" s="19" t="s">
        <v>218</v>
      </c>
      <c r="C52" s="25" t="s">
        <v>328</v>
      </c>
      <c r="D52" s="19" t="s">
        <v>61</v>
      </c>
      <c r="E52" s="9">
        <v>61.6</v>
      </c>
      <c r="F52" s="9">
        <v>46.9</v>
      </c>
      <c r="G52" s="9" t="s">
        <v>49</v>
      </c>
      <c r="H52" s="9" t="s">
        <v>49</v>
      </c>
      <c r="I52" s="20" t="s">
        <v>219</v>
      </c>
    </row>
    <row r="53" spans="1:9" ht="15.6" x14ac:dyDescent="0.35">
      <c r="A53" s="71"/>
      <c r="B53" s="19" t="s">
        <v>220</v>
      </c>
      <c r="C53" s="25" t="s">
        <v>329</v>
      </c>
      <c r="D53" s="19" t="s">
        <v>61</v>
      </c>
      <c r="E53" s="9"/>
      <c r="F53" s="9"/>
      <c r="G53" s="9" t="s">
        <v>49</v>
      </c>
      <c r="H53" s="9" t="s">
        <v>49</v>
      </c>
      <c r="I53" s="20" t="s">
        <v>330</v>
      </c>
    </row>
    <row r="54" spans="1:9" ht="15.6" x14ac:dyDescent="0.35">
      <c r="A54" s="71"/>
      <c r="B54" s="19" t="s">
        <v>222</v>
      </c>
      <c r="C54" s="19" t="s">
        <v>331</v>
      </c>
      <c r="D54" s="19" t="s">
        <v>49</v>
      </c>
      <c r="E54" s="9"/>
      <c r="F54" s="9"/>
      <c r="G54" s="9" t="s">
        <v>49</v>
      </c>
      <c r="H54" s="9" t="s">
        <v>49</v>
      </c>
      <c r="I54" s="20" t="s">
        <v>175</v>
      </c>
    </row>
    <row r="55" spans="1:9" ht="15.6" x14ac:dyDescent="0.35">
      <c r="A55" s="71"/>
      <c r="B55" s="19" t="s">
        <v>224</v>
      </c>
      <c r="C55" s="19" t="s">
        <v>332</v>
      </c>
      <c r="D55" s="19" t="s">
        <v>49</v>
      </c>
      <c r="E55" s="9"/>
      <c r="F55" s="9"/>
      <c r="G55" s="8" t="s">
        <v>49</v>
      </c>
      <c r="H55" s="9" t="s">
        <v>49</v>
      </c>
      <c r="I55" s="20" t="s">
        <v>175</v>
      </c>
    </row>
    <row r="56" spans="1:9" x14ac:dyDescent="0.3">
      <c r="E56" s="17"/>
      <c r="F56" s="17"/>
      <c r="G56" s="17"/>
      <c r="H56" s="17" t="s">
        <v>49</v>
      </c>
    </row>
    <row r="57" spans="1:9" ht="15.6" x14ac:dyDescent="0.35">
      <c r="A57" s="71" t="s">
        <v>8</v>
      </c>
      <c r="B57" s="19" t="s">
        <v>226</v>
      </c>
      <c r="C57" s="19" t="s">
        <v>333</v>
      </c>
      <c r="D57" s="19" t="s">
        <v>49</v>
      </c>
      <c r="E57" s="73">
        <f>40/66</f>
        <v>0.60606060606060608</v>
      </c>
      <c r="F57" s="73"/>
      <c r="G57" s="73"/>
      <c r="H57" s="73"/>
      <c r="I57" s="20" t="s">
        <v>334</v>
      </c>
    </row>
    <row r="58" spans="1:9" x14ac:dyDescent="0.3">
      <c r="A58" s="71"/>
      <c r="B58" s="19" t="s">
        <v>229</v>
      </c>
      <c r="C58" s="19" t="s">
        <v>230</v>
      </c>
      <c r="D58" s="19" t="s">
        <v>49</v>
      </c>
      <c r="E58" s="9" t="s">
        <v>335</v>
      </c>
      <c r="F58" s="9" t="s">
        <v>336</v>
      </c>
      <c r="G58" s="9" t="s">
        <v>337</v>
      </c>
      <c r="H58" s="9" t="s">
        <v>49</v>
      </c>
      <c r="I58" s="20"/>
    </row>
    <row r="59" spans="1:9" ht="15.6" x14ac:dyDescent="0.35">
      <c r="A59" s="71"/>
      <c r="B59" s="19" t="s">
        <v>231</v>
      </c>
      <c r="C59" s="19" t="s">
        <v>338</v>
      </c>
      <c r="D59" s="19" t="s">
        <v>49</v>
      </c>
      <c r="E59" s="9">
        <v>0</v>
      </c>
      <c r="F59" s="9">
        <v>3</v>
      </c>
      <c r="G59" s="9">
        <v>6</v>
      </c>
      <c r="H59" s="9" t="s">
        <v>49</v>
      </c>
      <c r="I59" s="20" t="s">
        <v>339</v>
      </c>
    </row>
    <row r="60" spans="1:9" ht="15.6" x14ac:dyDescent="0.35">
      <c r="A60" s="71"/>
      <c r="B60" s="19" t="s">
        <v>340</v>
      </c>
      <c r="C60" s="25" t="s">
        <v>341</v>
      </c>
      <c r="D60" s="19" t="s">
        <v>61</v>
      </c>
      <c r="E60" s="9">
        <f>(53.3+28.1)/2</f>
        <v>40.700000000000003</v>
      </c>
      <c r="F60" s="27"/>
      <c r="G60" s="9">
        <f>(51.2+16.5)/2</f>
        <v>33.85</v>
      </c>
      <c r="H60" s="9" t="s">
        <v>49</v>
      </c>
      <c r="I60" s="20" t="s">
        <v>342</v>
      </c>
    </row>
    <row r="61" spans="1:9" ht="15.6" x14ac:dyDescent="0.35">
      <c r="A61" s="71"/>
      <c r="B61" s="54" t="s">
        <v>235</v>
      </c>
      <c r="C61" s="25" t="s">
        <v>343</v>
      </c>
      <c r="D61" s="19" t="s">
        <v>61</v>
      </c>
      <c r="E61" s="9">
        <v>53.3</v>
      </c>
      <c r="F61" s="27"/>
      <c r="G61" s="9">
        <v>51.2</v>
      </c>
      <c r="H61" s="9" t="s">
        <v>49</v>
      </c>
      <c r="I61" s="20" t="s">
        <v>342</v>
      </c>
    </row>
    <row r="62" spans="1:9" ht="15.6" x14ac:dyDescent="0.35">
      <c r="A62" s="71"/>
      <c r="B62" s="19" t="s">
        <v>237</v>
      </c>
      <c r="C62" s="25" t="s">
        <v>344</v>
      </c>
      <c r="D62" s="19" t="s">
        <v>138</v>
      </c>
      <c r="E62" s="74">
        <f>800+2286</f>
        <v>3086</v>
      </c>
      <c r="F62" s="74"/>
      <c r="G62" s="74"/>
      <c r="H62" s="74"/>
      <c r="I62" s="20"/>
    </row>
    <row r="63" spans="1:9" ht="15.6" x14ac:dyDescent="0.35">
      <c r="A63" s="71"/>
      <c r="B63" s="19" t="s">
        <v>239</v>
      </c>
      <c r="C63" s="25" t="s">
        <v>345</v>
      </c>
      <c r="D63" s="19" t="s">
        <v>138</v>
      </c>
      <c r="E63" s="74">
        <v>2286</v>
      </c>
      <c r="F63" s="74"/>
      <c r="G63" s="74"/>
      <c r="H63" s="74"/>
      <c r="I63" s="20"/>
    </row>
    <row r="64" spans="1:9" ht="15.6" x14ac:dyDescent="0.35">
      <c r="A64" s="71"/>
      <c r="B64" s="19" t="s">
        <v>346</v>
      </c>
      <c r="C64" s="25" t="s">
        <v>347</v>
      </c>
      <c r="D64" s="19" t="s">
        <v>145</v>
      </c>
      <c r="E64" s="74">
        <f>40.733*0.2</f>
        <v>8.1465999999999994</v>
      </c>
      <c r="F64" s="74"/>
      <c r="G64" s="74"/>
      <c r="H64" s="74"/>
      <c r="I64" s="22" t="s">
        <v>348</v>
      </c>
    </row>
    <row r="66" spans="1:6" x14ac:dyDescent="0.3">
      <c r="A66" s="66" t="s">
        <v>349</v>
      </c>
      <c r="B66" s="28" t="s">
        <v>350</v>
      </c>
      <c r="E66" s="17"/>
      <c r="F66" s="29"/>
    </row>
    <row r="67" spans="1:6" x14ac:dyDescent="0.3">
      <c r="A67" s="66"/>
      <c r="B67" s="30" t="s">
        <v>351</v>
      </c>
    </row>
    <row r="68" spans="1:6" x14ac:dyDescent="0.3">
      <c r="A68" s="66"/>
      <c r="B68" s="30" t="s">
        <v>352</v>
      </c>
      <c r="D68" s="31"/>
    </row>
    <row r="69" spans="1:6" x14ac:dyDescent="0.3">
      <c r="A69" s="66"/>
      <c r="B69" s="30" t="s">
        <v>353</v>
      </c>
      <c r="D69" s="31"/>
    </row>
    <row r="70" spans="1:6" x14ac:dyDescent="0.3">
      <c r="A70" s="66"/>
      <c r="B70" s="30" t="s">
        <v>354</v>
      </c>
      <c r="D70" s="32"/>
    </row>
    <row r="71" spans="1:6" x14ac:dyDescent="0.3">
      <c r="A71" s="66"/>
      <c r="B71" s="30" t="s">
        <v>355</v>
      </c>
      <c r="C71" s="2"/>
      <c r="D71" s="31"/>
    </row>
    <row r="72" spans="1:6" x14ac:dyDescent="0.3">
      <c r="A72" s="66"/>
      <c r="B72" s="30" t="s">
        <v>356</v>
      </c>
      <c r="C72" s="2"/>
      <c r="D72" s="31"/>
    </row>
    <row r="73" spans="1:6" x14ac:dyDescent="0.3">
      <c r="A73" s="66"/>
      <c r="B73" s="30" t="s">
        <v>357</v>
      </c>
      <c r="C73" s="2"/>
      <c r="D73" s="33"/>
    </row>
    <row r="74" spans="1:6" x14ac:dyDescent="0.3">
      <c r="B74" s="30" t="s">
        <v>358</v>
      </c>
      <c r="C74" s="2"/>
    </row>
    <row r="75" spans="1:6" x14ac:dyDescent="0.3">
      <c r="B75" s="30" t="s">
        <v>359</v>
      </c>
    </row>
    <row r="76" spans="1:6" ht="40.200000000000003" x14ac:dyDescent="0.3">
      <c r="B76" s="60" t="s">
        <v>360</v>
      </c>
    </row>
    <row r="77" spans="1:6" x14ac:dyDescent="0.3">
      <c r="B77" s="30" t="s">
        <v>361</v>
      </c>
    </row>
    <row r="78" spans="1:6" x14ac:dyDescent="0.3">
      <c r="B78" s="30" t="s">
        <v>362</v>
      </c>
    </row>
    <row r="79" spans="1:6" x14ac:dyDescent="0.3">
      <c r="B79" s="30" t="s">
        <v>363</v>
      </c>
    </row>
    <row r="80" spans="1:6" x14ac:dyDescent="0.3">
      <c r="B80" s="30" t="s">
        <v>364</v>
      </c>
    </row>
    <row r="81" spans="1:10" x14ac:dyDescent="0.3">
      <c r="B81" s="30" t="s">
        <v>365</v>
      </c>
    </row>
    <row r="82" spans="1:10" x14ac:dyDescent="0.3">
      <c r="B82" s="30" t="s">
        <v>366</v>
      </c>
    </row>
    <row r="83" spans="1:10" x14ac:dyDescent="0.3">
      <c r="B83" s="30" t="s">
        <v>367</v>
      </c>
    </row>
    <row r="84" spans="1:10" ht="93" customHeight="1" x14ac:dyDescent="0.3">
      <c r="B84" s="34" t="s">
        <v>368</v>
      </c>
    </row>
    <row r="87" spans="1:10" x14ac:dyDescent="0.3">
      <c r="A87" s="66" t="s">
        <v>584</v>
      </c>
      <c r="B87" s="59" t="s">
        <v>585</v>
      </c>
      <c r="C87" t="s">
        <v>586</v>
      </c>
      <c r="D87" t="s">
        <v>587</v>
      </c>
      <c r="E87" s="55" t="s">
        <v>588</v>
      </c>
      <c r="F87" s="55" t="s">
        <v>589</v>
      </c>
      <c r="G87" s="55" t="s">
        <v>590</v>
      </c>
      <c r="H87" s="55" t="s">
        <v>590</v>
      </c>
      <c r="J87" s="55" t="s">
        <v>591</v>
      </c>
    </row>
    <row r="88" spans="1:10" x14ac:dyDescent="0.3">
      <c r="A88" s="66"/>
      <c r="B88">
        <v>-20</v>
      </c>
      <c r="C88">
        <v>253.15</v>
      </c>
      <c r="D88">
        <v>890.4</v>
      </c>
      <c r="E88" s="56">
        <v>1600</v>
      </c>
      <c r="F88" s="57">
        <v>0.13016</v>
      </c>
      <c r="G88" s="58">
        <v>1.0523025E-4</v>
      </c>
      <c r="H88" s="56">
        <f>G88*1000*1000</f>
        <v>105.23025</v>
      </c>
      <c r="J88" s="58">
        <v>0</v>
      </c>
    </row>
    <row r="89" spans="1:10" x14ac:dyDescent="0.3">
      <c r="A89" s="66"/>
      <c r="B89">
        <v>-10</v>
      </c>
      <c r="C89">
        <v>263.14999999999998</v>
      </c>
      <c r="D89">
        <v>883.7</v>
      </c>
      <c r="E89" s="56">
        <v>1600</v>
      </c>
      <c r="F89" s="57">
        <v>0.12725</v>
      </c>
      <c r="G89" s="58">
        <v>4.7177399999999993E-5</v>
      </c>
      <c r="H89" s="56">
        <f t="shared" ref="H89:H100" si="0">G89*1000*1000</f>
        <v>47.177399999999992</v>
      </c>
      <c r="J89" s="58">
        <v>0</v>
      </c>
    </row>
    <row r="90" spans="1:10" x14ac:dyDescent="0.3">
      <c r="A90" s="66"/>
      <c r="B90">
        <v>0</v>
      </c>
      <c r="C90">
        <v>273.14999999999998</v>
      </c>
      <c r="D90">
        <v>876.95</v>
      </c>
      <c r="E90" s="56">
        <v>1610</v>
      </c>
      <c r="F90" s="57">
        <v>0.12442</v>
      </c>
      <c r="G90" s="58">
        <v>2.43845E-5</v>
      </c>
      <c r="H90" s="56">
        <f t="shared" si="0"/>
        <v>24.384499999999999</v>
      </c>
      <c r="J90" s="58">
        <v>0</v>
      </c>
    </row>
    <row r="91" spans="1:10" x14ac:dyDescent="0.3">
      <c r="A91" s="66"/>
      <c r="B91">
        <v>10</v>
      </c>
      <c r="C91">
        <v>283.14999999999998</v>
      </c>
      <c r="D91">
        <v>870.2</v>
      </c>
      <c r="E91" s="56">
        <v>1630</v>
      </c>
      <c r="F91" s="57">
        <v>0.12239</v>
      </c>
      <c r="G91" s="58">
        <v>1.4190599999999999E-5</v>
      </c>
      <c r="H91" s="56">
        <f t="shared" si="0"/>
        <v>14.1906</v>
      </c>
      <c r="J91" s="58">
        <v>0</v>
      </c>
    </row>
    <row r="92" spans="1:10" x14ac:dyDescent="0.3">
      <c r="A92" s="66"/>
      <c r="B92">
        <v>20</v>
      </c>
      <c r="C92">
        <v>293.14999999999998</v>
      </c>
      <c r="D92">
        <v>863.3</v>
      </c>
      <c r="E92" s="56">
        <v>1640</v>
      </c>
      <c r="F92" s="57">
        <v>0.12021000000000001</v>
      </c>
      <c r="G92" s="58">
        <v>9.1177499999999992E-6</v>
      </c>
      <c r="H92" s="56">
        <f t="shared" si="0"/>
        <v>9.1177499999999991</v>
      </c>
      <c r="J92" s="58">
        <v>0</v>
      </c>
    </row>
    <row r="93" spans="1:10" x14ac:dyDescent="0.3">
      <c r="A93" s="66"/>
      <c r="B93">
        <v>30</v>
      </c>
      <c r="C93">
        <v>303.14999999999998</v>
      </c>
      <c r="D93">
        <v>856.6</v>
      </c>
      <c r="E93" s="56">
        <v>1660</v>
      </c>
      <c r="F93" s="57">
        <v>0.11854000000000001</v>
      </c>
      <c r="G93" s="58">
        <v>6.2818999999999999E-6</v>
      </c>
      <c r="H93" s="56">
        <f t="shared" si="0"/>
        <v>6.2819000000000003</v>
      </c>
      <c r="J93" s="58">
        <v>0</v>
      </c>
    </row>
    <row r="94" spans="1:10" x14ac:dyDescent="0.3">
      <c r="A94" s="66"/>
      <c r="B94">
        <v>40</v>
      </c>
      <c r="C94">
        <v>313.14999999999998</v>
      </c>
      <c r="D94">
        <v>849.95</v>
      </c>
      <c r="E94" s="56">
        <v>1685</v>
      </c>
      <c r="F94" s="57">
        <v>0.11693000000000001</v>
      </c>
      <c r="G94" s="58">
        <v>4.6012499999999994E-6</v>
      </c>
      <c r="H94" s="56">
        <f t="shared" si="0"/>
        <v>4.6012499999999994</v>
      </c>
      <c r="J94" s="58">
        <v>0</v>
      </c>
    </row>
    <row r="95" spans="1:10" x14ac:dyDescent="0.3">
      <c r="B95">
        <v>50</v>
      </c>
      <c r="C95">
        <v>323.14999999999998</v>
      </c>
      <c r="D95">
        <v>843.35</v>
      </c>
      <c r="E95" s="56">
        <v>1710</v>
      </c>
      <c r="F95" s="57">
        <v>0.11533</v>
      </c>
      <c r="G95" s="58">
        <v>3.5402E-6</v>
      </c>
      <c r="H95" s="56">
        <f t="shared" si="0"/>
        <v>3.5402</v>
      </c>
      <c r="J95" s="58">
        <v>0</v>
      </c>
    </row>
    <row r="96" spans="1:10" x14ac:dyDescent="0.3">
      <c r="B96">
        <v>60</v>
      </c>
      <c r="C96">
        <v>333.15</v>
      </c>
      <c r="D96">
        <v>836.7</v>
      </c>
      <c r="E96" s="56">
        <v>1740</v>
      </c>
      <c r="F96" s="57">
        <v>0.11397</v>
      </c>
      <c r="G96" s="58">
        <v>2.8352E-6</v>
      </c>
      <c r="H96" s="56">
        <f t="shared" si="0"/>
        <v>2.8351999999999999</v>
      </c>
      <c r="J96" s="58">
        <v>0</v>
      </c>
    </row>
    <row r="97" spans="2:10" x14ac:dyDescent="0.3">
      <c r="B97">
        <v>70</v>
      </c>
      <c r="C97">
        <v>343.15</v>
      </c>
      <c r="D97">
        <v>830.15</v>
      </c>
      <c r="E97" s="56">
        <v>1765.0000000000002</v>
      </c>
      <c r="F97" s="57">
        <v>0.11265500000000001</v>
      </c>
      <c r="G97" s="58">
        <v>2.3460000000000001E-6</v>
      </c>
      <c r="H97" s="56">
        <f t="shared" si="0"/>
        <v>2.3460000000000001</v>
      </c>
      <c r="J97" s="58">
        <v>0</v>
      </c>
    </row>
    <row r="98" spans="2:10" x14ac:dyDescent="0.3">
      <c r="B98">
        <v>80</v>
      </c>
      <c r="C98">
        <v>353.15</v>
      </c>
      <c r="D98">
        <v>823.55</v>
      </c>
      <c r="E98" s="56">
        <v>1800</v>
      </c>
      <c r="F98" s="57">
        <v>0.111535</v>
      </c>
      <c r="G98" s="58">
        <v>1.9935000000000001E-6</v>
      </c>
      <c r="H98" s="56">
        <f t="shared" si="0"/>
        <v>1.9935</v>
      </c>
      <c r="J98" s="58">
        <v>0</v>
      </c>
    </row>
    <row r="99" spans="2:10" x14ac:dyDescent="0.3">
      <c r="B99">
        <v>90</v>
      </c>
      <c r="C99">
        <v>363.15</v>
      </c>
      <c r="D99">
        <v>817</v>
      </c>
      <c r="E99" s="56">
        <v>1830</v>
      </c>
      <c r="F99" s="57">
        <v>0.11039</v>
      </c>
      <c r="G99" s="58">
        <v>1.7315000000000001E-6</v>
      </c>
      <c r="H99" s="56">
        <f t="shared" si="0"/>
        <v>1.7315</v>
      </c>
      <c r="J99" s="58">
        <v>0</v>
      </c>
    </row>
    <row r="100" spans="2:10" x14ac:dyDescent="0.3">
      <c r="B100">
        <v>100</v>
      </c>
      <c r="C100">
        <v>373.15</v>
      </c>
      <c r="D100">
        <v>810.2</v>
      </c>
      <c r="E100" s="56">
        <v>1865.0000000000002</v>
      </c>
      <c r="F100" s="57">
        <v>0.10999500000000001</v>
      </c>
      <c r="G100" s="58">
        <v>1.53155E-6</v>
      </c>
      <c r="H100" s="56">
        <f t="shared" si="0"/>
        <v>1.53155</v>
      </c>
      <c r="J100" s="58">
        <v>0</v>
      </c>
    </row>
  </sheetData>
  <mergeCells count="30">
    <mergeCell ref="E32:H32"/>
    <mergeCell ref="A34:A55"/>
    <mergeCell ref="A57:A64"/>
    <mergeCell ref="E57:H57"/>
    <mergeCell ref="E62:H62"/>
    <mergeCell ref="E63:H63"/>
    <mergeCell ref="E64:H64"/>
    <mergeCell ref="A23:A32"/>
    <mergeCell ref="E23:H23"/>
    <mergeCell ref="E24:H24"/>
    <mergeCell ref="E25:H25"/>
    <mergeCell ref="E26:H26"/>
    <mergeCell ref="E27:H27"/>
    <mergeCell ref="E28:H28"/>
    <mergeCell ref="A87:A94"/>
    <mergeCell ref="E29:H29"/>
    <mergeCell ref="E30:H30"/>
    <mergeCell ref="E3:H3"/>
    <mergeCell ref="A4:A12"/>
    <mergeCell ref="A14:A21"/>
    <mergeCell ref="E14:H14"/>
    <mergeCell ref="E15:H15"/>
    <mergeCell ref="E16:H16"/>
    <mergeCell ref="E17:H17"/>
    <mergeCell ref="E18:H18"/>
    <mergeCell ref="E19:H19"/>
    <mergeCell ref="E20:H20"/>
    <mergeCell ref="E21:H21"/>
    <mergeCell ref="A66:A73"/>
    <mergeCell ref="E31:H31"/>
  </mergeCells>
  <pageMargins left="0.7" right="0.7" top="0.75" bottom="0.75" header="0.3" footer="0.3"/>
  <pageSetup paperSize="9" orientation="portrait" horizontalDpi="300" verticalDpi="0" r:id="rId1"/>
  <headerFooter>
    <oddFooter xml:space="preserve">&amp;LFrei verwendbar </oddFooter>
    <evenFooter xml:space="preserve">&amp;LFrei verwendbar </evenFooter>
    <firstFooter xml:space="preserve">&amp;LFrei verwendbar </first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10"/>
  <sheetViews>
    <sheetView tabSelected="1" zoomScale="85" zoomScaleNormal="85" workbookViewId="0">
      <pane ySplit="1" topLeftCell="A114" activePane="bottomLeft" state="frozen"/>
      <selection pane="bottomLeft" activeCell="I122" sqref="I122"/>
    </sheetView>
  </sheetViews>
  <sheetFormatPr baseColWidth="10" defaultColWidth="14.44140625" defaultRowHeight="13.2" x14ac:dyDescent="0.25"/>
  <cols>
    <col min="1" max="1" width="11" customWidth="1"/>
    <col min="2" max="2" width="12.88671875" customWidth="1"/>
    <col min="3" max="3" width="13.44140625" customWidth="1"/>
    <col min="4" max="4" width="61.88671875" customWidth="1"/>
    <col min="5" max="5" width="17.109375" customWidth="1"/>
    <col min="6" max="6" width="13.88671875" customWidth="1"/>
    <col min="7" max="7" width="12.44140625" style="41" customWidth="1"/>
    <col min="8" max="8" width="13.88671875" customWidth="1"/>
    <col min="9" max="9" width="48.77734375" style="38" customWidth="1"/>
    <col min="10" max="10" width="36.5546875" customWidth="1"/>
    <col min="11" max="27" width="11" customWidth="1"/>
  </cols>
  <sheetData>
    <row r="1" spans="1:10" s="37" customFormat="1" ht="52.8" x14ac:dyDescent="0.25">
      <c r="A1" s="37" t="s">
        <v>9</v>
      </c>
      <c r="B1" s="37" t="s">
        <v>10</v>
      </c>
      <c r="C1" s="37" t="s">
        <v>11</v>
      </c>
      <c r="D1" s="37" t="s">
        <v>381</v>
      </c>
      <c r="E1" s="37" t="s">
        <v>243</v>
      </c>
      <c r="F1" s="37" t="s">
        <v>244</v>
      </c>
      <c r="G1" s="42" t="s">
        <v>246</v>
      </c>
      <c r="H1" s="37" t="s">
        <v>374</v>
      </c>
      <c r="I1" s="37" t="s">
        <v>369</v>
      </c>
      <c r="J1" s="37" t="s">
        <v>12</v>
      </c>
    </row>
    <row r="2" spans="1:10" x14ac:dyDescent="0.25">
      <c r="A2" t="s">
        <v>16</v>
      </c>
      <c r="B2" t="s">
        <v>3</v>
      </c>
      <c r="C2" t="s">
        <v>4</v>
      </c>
      <c r="D2" t="s">
        <v>13</v>
      </c>
      <c r="E2" t="s">
        <v>15</v>
      </c>
      <c r="G2" s="41" t="s">
        <v>14</v>
      </c>
    </row>
    <row r="3" spans="1:10" x14ac:dyDescent="0.25">
      <c r="A3" t="s">
        <v>16</v>
      </c>
      <c r="B3" t="s">
        <v>3</v>
      </c>
      <c r="C3" t="s">
        <v>4</v>
      </c>
      <c r="D3" t="s">
        <v>17</v>
      </c>
      <c r="E3" t="s">
        <v>18</v>
      </c>
      <c r="G3" s="41" t="s">
        <v>14</v>
      </c>
    </row>
    <row r="4" spans="1:10" x14ac:dyDescent="0.25">
      <c r="A4" t="s">
        <v>16</v>
      </c>
      <c r="B4" t="s">
        <v>3</v>
      </c>
      <c r="C4" t="s">
        <v>7</v>
      </c>
      <c r="D4" t="s">
        <v>19</v>
      </c>
      <c r="E4" t="s">
        <v>20</v>
      </c>
      <c r="G4" s="41" t="s">
        <v>14</v>
      </c>
    </row>
    <row r="5" spans="1:10" x14ac:dyDescent="0.25">
      <c r="A5" t="s">
        <v>16</v>
      </c>
      <c r="B5" t="s">
        <v>3</v>
      </c>
      <c r="C5" t="s">
        <v>7</v>
      </c>
      <c r="D5" t="s">
        <v>21</v>
      </c>
      <c r="E5" t="s">
        <v>22</v>
      </c>
      <c r="G5" s="41" t="s">
        <v>14</v>
      </c>
    </row>
    <row r="6" spans="1:10" x14ac:dyDescent="0.25">
      <c r="A6" t="s">
        <v>26</v>
      </c>
      <c r="B6" t="s">
        <v>3</v>
      </c>
      <c r="C6" t="s">
        <v>378</v>
      </c>
      <c r="D6" t="s">
        <v>23</v>
      </c>
      <c r="E6" t="s">
        <v>25</v>
      </c>
      <c r="G6" s="41" t="s">
        <v>24</v>
      </c>
    </row>
    <row r="7" spans="1:10" x14ac:dyDescent="0.25">
      <c r="A7" t="s">
        <v>26</v>
      </c>
      <c r="B7" t="s">
        <v>3</v>
      </c>
      <c r="C7" t="s">
        <v>378</v>
      </c>
      <c r="D7" t="s">
        <v>27</v>
      </c>
      <c r="E7" t="s">
        <v>28</v>
      </c>
      <c r="G7" s="41" t="s">
        <v>14</v>
      </c>
    </row>
    <row r="8" spans="1:10" x14ac:dyDescent="0.25">
      <c r="A8" t="s">
        <v>26</v>
      </c>
      <c r="B8" t="s">
        <v>3</v>
      </c>
      <c r="C8" t="s">
        <v>8</v>
      </c>
      <c r="D8" t="s">
        <v>29</v>
      </c>
      <c r="E8" t="s">
        <v>31</v>
      </c>
      <c r="G8" s="41" t="s">
        <v>30</v>
      </c>
    </row>
    <row r="9" spans="1:10" x14ac:dyDescent="0.25">
      <c r="A9" t="s">
        <v>26</v>
      </c>
      <c r="B9" t="s">
        <v>3</v>
      </c>
      <c r="C9" t="s">
        <v>8</v>
      </c>
      <c r="D9" t="s">
        <v>32</v>
      </c>
      <c r="E9" t="s">
        <v>33</v>
      </c>
      <c r="G9" s="41" t="s">
        <v>30</v>
      </c>
    </row>
    <row r="10" spans="1:10" x14ac:dyDescent="0.25">
      <c r="A10" t="s">
        <v>26</v>
      </c>
      <c r="B10" t="s">
        <v>3</v>
      </c>
      <c r="C10" t="s">
        <v>8</v>
      </c>
      <c r="D10" t="s">
        <v>34</v>
      </c>
      <c r="E10" t="s">
        <v>35</v>
      </c>
      <c r="G10" s="41" t="s">
        <v>30</v>
      </c>
    </row>
    <row r="11" spans="1:10" x14ac:dyDescent="0.25">
      <c r="A11" t="s">
        <v>26</v>
      </c>
      <c r="B11" t="s">
        <v>3</v>
      </c>
      <c r="C11" t="s">
        <v>8</v>
      </c>
      <c r="D11" s="35" t="s">
        <v>390</v>
      </c>
      <c r="E11" s="35" t="s">
        <v>391</v>
      </c>
      <c r="G11" s="41" t="s">
        <v>30</v>
      </c>
    </row>
    <row r="12" spans="1:10" x14ac:dyDescent="0.25">
      <c r="A12" t="s">
        <v>26</v>
      </c>
      <c r="B12" t="s">
        <v>3</v>
      </c>
      <c r="C12" t="s">
        <v>377</v>
      </c>
      <c r="D12" t="s">
        <v>36</v>
      </c>
      <c r="E12" s="35" t="s">
        <v>38</v>
      </c>
      <c r="G12" s="41" t="s">
        <v>37</v>
      </c>
    </row>
    <row r="13" spans="1:10" x14ac:dyDescent="0.25">
      <c r="A13" t="s">
        <v>26</v>
      </c>
      <c r="B13" t="s">
        <v>3</v>
      </c>
      <c r="C13" t="s">
        <v>378</v>
      </c>
      <c r="D13" t="s">
        <v>39</v>
      </c>
      <c r="E13" t="s">
        <v>41</v>
      </c>
      <c r="G13" s="41" t="s">
        <v>40</v>
      </c>
    </row>
    <row r="14" spans="1:10" x14ac:dyDescent="0.25">
      <c r="A14" t="s">
        <v>26</v>
      </c>
      <c r="B14" t="s">
        <v>3</v>
      </c>
      <c r="C14" t="s">
        <v>378</v>
      </c>
      <c r="D14" t="s">
        <v>42</v>
      </c>
      <c r="E14" t="s">
        <v>44</v>
      </c>
      <c r="G14" s="41" t="s">
        <v>43</v>
      </c>
    </row>
    <row r="15" spans="1:10" x14ac:dyDescent="0.25">
      <c r="A15" t="s">
        <v>26</v>
      </c>
      <c r="B15" t="s">
        <v>3</v>
      </c>
      <c r="C15" t="s">
        <v>378</v>
      </c>
      <c r="D15" t="s">
        <v>45</v>
      </c>
      <c r="E15" t="s">
        <v>47</v>
      </c>
      <c r="G15" s="41" t="s">
        <v>46</v>
      </c>
    </row>
    <row r="16" spans="1:10" ht="39.6" x14ac:dyDescent="0.25">
      <c r="A16" t="s">
        <v>26</v>
      </c>
      <c r="B16" t="s">
        <v>373</v>
      </c>
      <c r="C16" t="s">
        <v>8</v>
      </c>
      <c r="D16" t="s">
        <v>48</v>
      </c>
      <c r="E16" t="s">
        <v>50</v>
      </c>
      <c r="F16">
        <v>0.8</v>
      </c>
      <c r="G16" s="41" t="s">
        <v>49</v>
      </c>
      <c r="H16" t="s">
        <v>376</v>
      </c>
      <c r="I16" s="39" t="s">
        <v>592</v>
      </c>
    </row>
    <row r="17" spans="1:9" ht="39.6" x14ac:dyDescent="0.25">
      <c r="A17" t="s">
        <v>26</v>
      </c>
      <c r="B17" t="s">
        <v>373</v>
      </c>
      <c r="C17" t="s">
        <v>7</v>
      </c>
      <c r="D17" t="s">
        <v>51</v>
      </c>
      <c r="E17" t="s">
        <v>52</v>
      </c>
      <c r="F17">
        <v>1.3</v>
      </c>
      <c r="G17" s="41" t="s">
        <v>49</v>
      </c>
      <c r="H17" t="s">
        <v>376</v>
      </c>
      <c r="I17" s="39" t="s">
        <v>601</v>
      </c>
    </row>
    <row r="18" spans="1:9" ht="39.6" x14ac:dyDescent="0.25">
      <c r="A18" t="s">
        <v>26</v>
      </c>
      <c r="B18" t="s">
        <v>373</v>
      </c>
      <c r="C18" t="s">
        <v>8</v>
      </c>
      <c r="D18" t="s">
        <v>53</v>
      </c>
      <c r="E18" t="s">
        <v>54</v>
      </c>
      <c r="F18">
        <v>1</v>
      </c>
      <c r="G18" s="41" t="s">
        <v>49</v>
      </c>
      <c r="H18" t="s">
        <v>376</v>
      </c>
      <c r="I18" s="39" t="s">
        <v>546</v>
      </c>
    </row>
    <row r="19" spans="1:9" ht="39.6" x14ac:dyDescent="0.25">
      <c r="A19" t="s">
        <v>26</v>
      </c>
      <c r="B19" t="s">
        <v>373</v>
      </c>
      <c r="C19" t="s">
        <v>7</v>
      </c>
      <c r="D19" t="s">
        <v>55</v>
      </c>
      <c r="E19" t="s">
        <v>56</v>
      </c>
      <c r="F19">
        <v>1</v>
      </c>
      <c r="G19" s="41" t="s">
        <v>49</v>
      </c>
      <c r="H19" t="s">
        <v>376</v>
      </c>
      <c r="I19" s="39" t="s">
        <v>602</v>
      </c>
    </row>
    <row r="20" spans="1:9" ht="39.6" x14ac:dyDescent="0.25">
      <c r="A20" t="s">
        <v>26</v>
      </c>
      <c r="B20" t="s">
        <v>373</v>
      </c>
      <c r="C20" t="s">
        <v>7</v>
      </c>
      <c r="D20" t="s">
        <v>57</v>
      </c>
      <c r="E20" t="s">
        <v>245</v>
      </c>
      <c r="F20">
        <v>1</v>
      </c>
      <c r="G20" s="41" t="s">
        <v>49</v>
      </c>
      <c r="H20" t="s">
        <v>376</v>
      </c>
      <c r="I20" s="39" t="s">
        <v>602</v>
      </c>
    </row>
    <row r="21" spans="1:9" ht="52.8" x14ac:dyDescent="0.25">
      <c r="A21" t="s">
        <v>26</v>
      </c>
      <c r="B21" t="s">
        <v>1</v>
      </c>
      <c r="C21" t="s">
        <v>7</v>
      </c>
      <c r="D21" t="s">
        <v>58</v>
      </c>
      <c r="E21" t="s">
        <v>59</v>
      </c>
      <c r="F21">
        <v>8.44</v>
      </c>
      <c r="G21" s="41" t="s">
        <v>49</v>
      </c>
      <c r="H21" t="s">
        <v>376</v>
      </c>
      <c r="I21" s="39" t="s">
        <v>593</v>
      </c>
    </row>
    <row r="22" spans="1:9" ht="26.4" x14ac:dyDescent="0.25">
      <c r="A22" t="s">
        <v>26</v>
      </c>
      <c r="B22" t="s">
        <v>372</v>
      </c>
      <c r="C22" t="s">
        <v>8</v>
      </c>
      <c r="D22" t="s">
        <v>60</v>
      </c>
      <c r="E22" t="s">
        <v>62</v>
      </c>
      <c r="F22">
        <v>51.3</v>
      </c>
      <c r="G22" s="41" t="s">
        <v>61</v>
      </c>
      <c r="H22" t="s">
        <v>376</v>
      </c>
      <c r="I22" s="39" t="s">
        <v>537</v>
      </c>
    </row>
    <row r="23" spans="1:9" ht="26.4" x14ac:dyDescent="0.25">
      <c r="A23" t="s">
        <v>26</v>
      </c>
      <c r="B23" t="s">
        <v>372</v>
      </c>
      <c r="C23" t="s">
        <v>8</v>
      </c>
      <c r="D23" t="s">
        <v>63</v>
      </c>
      <c r="E23" t="s">
        <v>64</v>
      </c>
      <c r="F23">
        <v>69.5</v>
      </c>
      <c r="G23" s="41" t="s">
        <v>61</v>
      </c>
      <c r="H23" t="s">
        <v>376</v>
      </c>
      <c r="I23" s="39" t="s">
        <v>537</v>
      </c>
    </row>
    <row r="24" spans="1:9" ht="26.4" x14ac:dyDescent="0.25">
      <c r="A24" t="s">
        <v>26</v>
      </c>
      <c r="B24" t="s">
        <v>372</v>
      </c>
      <c r="C24" t="s">
        <v>8</v>
      </c>
      <c r="D24" t="s">
        <v>65</v>
      </c>
      <c r="E24" t="s">
        <v>66</v>
      </c>
      <c r="F24">
        <v>98.3</v>
      </c>
      <c r="G24" s="41" t="s">
        <v>61</v>
      </c>
      <c r="H24" t="s">
        <v>376</v>
      </c>
      <c r="I24" s="39" t="s">
        <v>537</v>
      </c>
    </row>
    <row r="25" spans="1:9" x14ac:dyDescent="0.25">
      <c r="A25" t="s">
        <v>26</v>
      </c>
      <c r="B25" t="s">
        <v>1</v>
      </c>
      <c r="C25" t="s">
        <v>8</v>
      </c>
      <c r="D25" s="35" t="s">
        <v>596</v>
      </c>
      <c r="E25" s="35" t="s">
        <v>597</v>
      </c>
      <c r="F25">
        <v>16.5</v>
      </c>
      <c r="G25" s="41" t="s">
        <v>61</v>
      </c>
      <c r="H25" t="s">
        <v>376</v>
      </c>
      <c r="I25" s="39" t="s">
        <v>595</v>
      </c>
    </row>
    <row r="26" spans="1:9" x14ac:dyDescent="0.25">
      <c r="A26" t="s">
        <v>26</v>
      </c>
      <c r="B26" t="s">
        <v>1</v>
      </c>
      <c r="C26" t="s">
        <v>8</v>
      </c>
      <c r="D26" s="35" t="s">
        <v>598</v>
      </c>
      <c r="E26" s="35" t="s">
        <v>599</v>
      </c>
      <c r="F26">
        <v>33.799999999999997</v>
      </c>
      <c r="G26" s="41" t="s">
        <v>61</v>
      </c>
      <c r="H26" t="s">
        <v>376</v>
      </c>
      <c r="I26" s="39" t="s">
        <v>595</v>
      </c>
    </row>
    <row r="27" spans="1:9" ht="26.4" x14ac:dyDescent="0.25">
      <c r="A27" t="s">
        <v>26</v>
      </c>
      <c r="B27" t="s">
        <v>1</v>
      </c>
      <c r="C27" t="s">
        <v>8</v>
      </c>
      <c r="D27" s="35" t="s">
        <v>379</v>
      </c>
      <c r="E27" t="s">
        <v>247</v>
      </c>
      <c r="F27">
        <v>51.2</v>
      </c>
      <c r="G27" s="41" t="s">
        <v>61</v>
      </c>
      <c r="H27" t="s">
        <v>376</v>
      </c>
      <c r="I27" s="39" t="s">
        <v>533</v>
      </c>
    </row>
    <row r="28" spans="1:9" ht="39.6" x14ac:dyDescent="0.25">
      <c r="A28" t="s">
        <v>26</v>
      </c>
      <c r="B28" t="s">
        <v>372</v>
      </c>
      <c r="C28" t="s">
        <v>8</v>
      </c>
      <c r="D28" t="s">
        <v>67</v>
      </c>
      <c r="E28" t="s">
        <v>69</v>
      </c>
      <c r="F28">
        <v>150</v>
      </c>
      <c r="G28" s="41" t="s">
        <v>68</v>
      </c>
      <c r="H28" t="s">
        <v>376</v>
      </c>
      <c r="I28" s="38" t="s">
        <v>538</v>
      </c>
    </row>
    <row r="29" spans="1:9" ht="39.6" x14ac:dyDescent="0.25">
      <c r="A29" t="s">
        <v>26</v>
      </c>
      <c r="B29" t="s">
        <v>372</v>
      </c>
      <c r="C29" t="s">
        <v>8</v>
      </c>
      <c r="D29" t="s">
        <v>70</v>
      </c>
      <c r="E29" t="s">
        <v>71</v>
      </c>
      <c r="F29">
        <v>210</v>
      </c>
      <c r="G29" s="41" t="s">
        <v>68</v>
      </c>
      <c r="H29" t="s">
        <v>376</v>
      </c>
      <c r="I29" s="38" t="s">
        <v>538</v>
      </c>
    </row>
    <row r="30" spans="1:9" ht="39.6" x14ac:dyDescent="0.25">
      <c r="A30" t="s">
        <v>26</v>
      </c>
      <c r="B30" t="s">
        <v>372</v>
      </c>
      <c r="C30" t="s">
        <v>8</v>
      </c>
      <c r="D30" t="s">
        <v>72</v>
      </c>
      <c r="E30" t="s">
        <v>73</v>
      </c>
      <c r="F30">
        <v>210</v>
      </c>
      <c r="G30" s="41" t="s">
        <v>68</v>
      </c>
      <c r="H30" t="s">
        <v>376</v>
      </c>
      <c r="I30" s="38" t="s">
        <v>538</v>
      </c>
    </row>
    <row r="31" spans="1:9" ht="39.6" x14ac:dyDescent="0.25">
      <c r="A31" t="s">
        <v>26</v>
      </c>
      <c r="B31" t="s">
        <v>373</v>
      </c>
      <c r="C31" t="s">
        <v>8</v>
      </c>
      <c r="D31" s="35" t="s">
        <v>380</v>
      </c>
      <c r="E31" t="s">
        <v>248</v>
      </c>
      <c r="F31">
        <v>150</v>
      </c>
      <c r="G31" s="41" t="s">
        <v>68</v>
      </c>
      <c r="H31" t="s">
        <v>376</v>
      </c>
      <c r="I31" s="39" t="s">
        <v>603</v>
      </c>
    </row>
    <row r="32" spans="1:9" x14ac:dyDescent="0.25">
      <c r="A32" t="s">
        <v>26</v>
      </c>
      <c r="B32" t="s">
        <v>373</v>
      </c>
      <c r="C32" t="s">
        <v>8</v>
      </c>
      <c r="D32" s="35" t="s">
        <v>380</v>
      </c>
      <c r="E32" s="35" t="s">
        <v>594</v>
      </c>
      <c r="F32">
        <v>150</v>
      </c>
      <c r="G32" s="41" t="s">
        <v>68</v>
      </c>
      <c r="H32" t="s">
        <v>376</v>
      </c>
      <c r="I32" s="39" t="s">
        <v>595</v>
      </c>
    </row>
    <row r="33" spans="1:10" x14ac:dyDescent="0.25">
      <c r="A33" t="s">
        <v>26</v>
      </c>
      <c r="B33" t="s">
        <v>373</v>
      </c>
      <c r="C33" t="s">
        <v>8</v>
      </c>
      <c r="D33" s="35" t="s">
        <v>380</v>
      </c>
      <c r="E33" s="35" t="s">
        <v>600</v>
      </c>
      <c r="F33">
        <v>10</v>
      </c>
      <c r="G33" s="41" t="s">
        <v>68</v>
      </c>
      <c r="H33" t="s">
        <v>376</v>
      </c>
      <c r="I33" s="39" t="s">
        <v>595</v>
      </c>
    </row>
    <row r="34" spans="1:10" ht="39.6" x14ac:dyDescent="0.25">
      <c r="A34" t="s">
        <v>26</v>
      </c>
      <c r="B34" t="s">
        <v>1</v>
      </c>
      <c r="C34" t="s">
        <v>7</v>
      </c>
      <c r="D34" t="s">
        <v>74</v>
      </c>
      <c r="E34" t="s">
        <v>75</v>
      </c>
      <c r="F34" s="43">
        <v>25.4</v>
      </c>
      <c r="G34" s="41" t="s">
        <v>61</v>
      </c>
      <c r="H34" t="s">
        <v>376</v>
      </c>
      <c r="I34" s="39" t="s">
        <v>604</v>
      </c>
      <c r="J34" s="43" t="s">
        <v>535</v>
      </c>
    </row>
    <row r="35" spans="1:10" ht="39.6" x14ac:dyDescent="0.25">
      <c r="A35" t="s">
        <v>26</v>
      </c>
      <c r="B35" t="s">
        <v>373</v>
      </c>
      <c r="C35" t="s">
        <v>7</v>
      </c>
      <c r="D35" t="s">
        <v>76</v>
      </c>
      <c r="E35" t="s">
        <v>77</v>
      </c>
      <c r="F35">
        <v>7</v>
      </c>
      <c r="G35" s="41" t="s">
        <v>68</v>
      </c>
      <c r="H35" t="s">
        <v>376</v>
      </c>
      <c r="I35" s="39" t="s">
        <v>602</v>
      </c>
    </row>
    <row r="36" spans="1:10" ht="26.4" x14ac:dyDescent="0.25">
      <c r="A36" t="s">
        <v>26</v>
      </c>
      <c r="B36" t="s">
        <v>1</v>
      </c>
      <c r="C36" t="s">
        <v>8</v>
      </c>
      <c r="D36" s="35" t="s">
        <v>465</v>
      </c>
      <c r="E36" s="35" t="s">
        <v>467</v>
      </c>
      <c r="F36">
        <v>40</v>
      </c>
      <c r="G36" s="41" t="s">
        <v>120</v>
      </c>
      <c r="H36" t="s">
        <v>376</v>
      </c>
      <c r="I36" s="39" t="s">
        <v>622</v>
      </c>
    </row>
    <row r="37" spans="1:10" ht="26.4" x14ac:dyDescent="0.25">
      <c r="A37" t="s">
        <v>26</v>
      </c>
      <c r="B37" t="s">
        <v>1</v>
      </c>
      <c r="C37" t="s">
        <v>8</v>
      </c>
      <c r="D37" s="35" t="s">
        <v>466</v>
      </c>
      <c r="E37" s="35" t="s">
        <v>468</v>
      </c>
      <c r="F37">
        <v>53</v>
      </c>
      <c r="G37" s="41" t="s">
        <v>120</v>
      </c>
      <c r="H37" t="s">
        <v>376</v>
      </c>
      <c r="I37" s="39" t="s">
        <v>622</v>
      </c>
    </row>
    <row r="38" spans="1:10" x14ac:dyDescent="0.25">
      <c r="A38" t="s">
        <v>26</v>
      </c>
      <c r="B38" t="s">
        <v>1</v>
      </c>
      <c r="C38" t="s">
        <v>8</v>
      </c>
      <c r="D38" t="s">
        <v>78</v>
      </c>
      <c r="E38" t="s">
        <v>80</v>
      </c>
      <c r="G38" s="41" t="s">
        <v>79</v>
      </c>
      <c r="H38" t="s">
        <v>375</v>
      </c>
    </row>
    <row r="39" spans="1:10" x14ac:dyDescent="0.25">
      <c r="A39" t="s">
        <v>26</v>
      </c>
      <c r="B39" t="s">
        <v>1</v>
      </c>
      <c r="C39" t="s">
        <v>7</v>
      </c>
      <c r="D39" t="s">
        <v>81</v>
      </c>
      <c r="E39" t="s">
        <v>82</v>
      </c>
      <c r="G39" s="41" t="s">
        <v>79</v>
      </c>
      <c r="H39" t="s">
        <v>375</v>
      </c>
    </row>
    <row r="40" spans="1:10" x14ac:dyDescent="0.25">
      <c r="A40" t="s">
        <v>26</v>
      </c>
      <c r="B40" t="s">
        <v>1</v>
      </c>
      <c r="C40" t="s">
        <v>8</v>
      </c>
      <c r="D40" t="s">
        <v>83</v>
      </c>
      <c r="E40" t="s">
        <v>84</v>
      </c>
      <c r="G40" s="41" t="s">
        <v>79</v>
      </c>
      <c r="H40" t="s">
        <v>375</v>
      </c>
    </row>
    <row r="41" spans="1:10" x14ac:dyDescent="0.25">
      <c r="A41" t="s">
        <v>26</v>
      </c>
      <c r="B41" t="s">
        <v>1</v>
      </c>
      <c r="C41" t="s">
        <v>7</v>
      </c>
      <c r="D41" t="s">
        <v>85</v>
      </c>
      <c r="E41" t="s">
        <v>86</v>
      </c>
      <c r="F41">
        <v>75</v>
      </c>
      <c r="G41" s="41" t="s">
        <v>14</v>
      </c>
      <c r="H41" t="s">
        <v>375</v>
      </c>
    </row>
    <row r="42" spans="1:10" x14ac:dyDescent="0.25">
      <c r="A42" t="s">
        <v>26</v>
      </c>
      <c r="B42" t="s">
        <v>1</v>
      </c>
      <c r="C42" t="s">
        <v>7</v>
      </c>
      <c r="D42" t="s">
        <v>87</v>
      </c>
      <c r="E42" t="s">
        <v>88</v>
      </c>
      <c r="F42">
        <v>65</v>
      </c>
      <c r="G42" s="41" t="s">
        <v>14</v>
      </c>
      <c r="H42" t="s">
        <v>375</v>
      </c>
    </row>
    <row r="43" spans="1:10" x14ac:dyDescent="0.25">
      <c r="A43" t="s">
        <v>26</v>
      </c>
      <c r="B43" t="s">
        <v>1</v>
      </c>
      <c r="C43" t="s">
        <v>7</v>
      </c>
      <c r="D43" t="s">
        <v>89</v>
      </c>
      <c r="E43" t="s">
        <v>90</v>
      </c>
      <c r="F43">
        <v>65</v>
      </c>
      <c r="G43" s="41" t="s">
        <v>14</v>
      </c>
      <c r="H43" t="s">
        <v>375</v>
      </c>
    </row>
    <row r="44" spans="1:10" x14ac:dyDescent="0.25">
      <c r="A44" t="s">
        <v>26</v>
      </c>
      <c r="B44" t="s">
        <v>1</v>
      </c>
      <c r="C44" t="s">
        <v>7</v>
      </c>
      <c r="D44" t="s">
        <v>91</v>
      </c>
      <c r="E44" t="s">
        <v>92</v>
      </c>
      <c r="F44">
        <v>55</v>
      </c>
      <c r="G44" s="41" t="s">
        <v>14</v>
      </c>
      <c r="H44" t="s">
        <v>375</v>
      </c>
    </row>
    <row r="45" spans="1:10" x14ac:dyDescent="0.25">
      <c r="A45" t="s">
        <v>26</v>
      </c>
      <c r="B45" t="s">
        <v>1</v>
      </c>
      <c r="C45" t="s">
        <v>8</v>
      </c>
      <c r="D45" t="s">
        <v>93</v>
      </c>
      <c r="E45" t="s">
        <v>94</v>
      </c>
      <c r="G45" s="41" t="s">
        <v>14</v>
      </c>
      <c r="H45" t="s">
        <v>375</v>
      </c>
    </row>
    <row r="46" spans="1:10" x14ac:dyDescent="0.25">
      <c r="A46" t="s">
        <v>26</v>
      </c>
      <c r="B46" t="s">
        <v>1</v>
      </c>
      <c r="C46" t="s">
        <v>8</v>
      </c>
      <c r="D46" t="s">
        <v>95</v>
      </c>
      <c r="E46" t="s">
        <v>96</v>
      </c>
      <c r="G46" s="41" t="s">
        <v>14</v>
      </c>
      <c r="H46" t="s">
        <v>375</v>
      </c>
    </row>
    <row r="47" spans="1:10" x14ac:dyDescent="0.25">
      <c r="A47" t="s">
        <v>26</v>
      </c>
      <c r="B47" t="s">
        <v>1</v>
      </c>
      <c r="C47" t="s">
        <v>8</v>
      </c>
      <c r="D47" t="s">
        <v>97</v>
      </c>
      <c r="E47" t="s">
        <v>98</v>
      </c>
      <c r="G47" s="41" t="s">
        <v>14</v>
      </c>
      <c r="H47" t="s">
        <v>375</v>
      </c>
    </row>
    <row r="48" spans="1:10" x14ac:dyDescent="0.25">
      <c r="A48" t="s">
        <v>26</v>
      </c>
      <c r="B48" t="s">
        <v>1</v>
      </c>
      <c r="C48" t="s">
        <v>8</v>
      </c>
      <c r="D48" t="s">
        <v>99</v>
      </c>
      <c r="E48" t="s">
        <v>100</v>
      </c>
      <c r="G48" s="41" t="s">
        <v>14</v>
      </c>
      <c r="H48" t="s">
        <v>375</v>
      </c>
    </row>
    <row r="49" spans="1:10" x14ac:dyDescent="0.25">
      <c r="A49" t="s">
        <v>26</v>
      </c>
      <c r="B49" t="s">
        <v>1</v>
      </c>
      <c r="C49" t="s">
        <v>8</v>
      </c>
      <c r="D49" t="s">
        <v>101</v>
      </c>
      <c r="E49" t="s">
        <v>102</v>
      </c>
      <c r="G49" s="41" t="s">
        <v>14</v>
      </c>
      <c r="H49" t="s">
        <v>375</v>
      </c>
    </row>
    <row r="50" spans="1:10" x14ac:dyDescent="0.25">
      <c r="A50" t="s">
        <v>26</v>
      </c>
      <c r="B50" t="s">
        <v>1</v>
      </c>
      <c r="C50" t="s">
        <v>8</v>
      </c>
      <c r="D50" t="s">
        <v>103</v>
      </c>
      <c r="E50" t="s">
        <v>104</v>
      </c>
      <c r="G50" s="41" t="s">
        <v>14</v>
      </c>
      <c r="H50" t="s">
        <v>375</v>
      </c>
    </row>
    <row r="51" spans="1:10" x14ac:dyDescent="0.25">
      <c r="A51" t="s">
        <v>26</v>
      </c>
      <c r="B51" t="s">
        <v>1</v>
      </c>
      <c r="C51" t="s">
        <v>8</v>
      </c>
      <c r="D51" t="s">
        <v>105</v>
      </c>
      <c r="E51" t="s">
        <v>106</v>
      </c>
      <c r="G51" s="41" t="s">
        <v>14</v>
      </c>
      <c r="H51" t="s">
        <v>375</v>
      </c>
    </row>
    <row r="52" spans="1:10" x14ac:dyDescent="0.25">
      <c r="A52" t="s">
        <v>26</v>
      </c>
      <c r="B52" t="s">
        <v>1</v>
      </c>
      <c r="C52" t="s">
        <v>8</v>
      </c>
      <c r="D52" t="s">
        <v>107</v>
      </c>
      <c r="E52" t="s">
        <v>108</v>
      </c>
      <c r="G52" s="41" t="s">
        <v>14</v>
      </c>
      <c r="H52" t="s">
        <v>375</v>
      </c>
    </row>
    <row r="53" spans="1:10" x14ac:dyDescent="0.25">
      <c r="A53" t="s">
        <v>26</v>
      </c>
      <c r="B53" t="s">
        <v>1</v>
      </c>
      <c r="C53" t="s">
        <v>8</v>
      </c>
      <c r="D53" t="s">
        <v>109</v>
      </c>
      <c r="E53" t="s">
        <v>110</v>
      </c>
      <c r="F53">
        <v>0</v>
      </c>
      <c r="G53" s="41" t="s">
        <v>37</v>
      </c>
      <c r="H53" t="s">
        <v>375</v>
      </c>
    </row>
    <row r="54" spans="1:10" x14ac:dyDescent="0.25">
      <c r="A54" t="s">
        <v>26</v>
      </c>
      <c r="B54" t="s">
        <v>1</v>
      </c>
      <c r="C54" t="s">
        <v>8</v>
      </c>
      <c r="D54" t="s">
        <v>111</v>
      </c>
      <c r="E54" t="s">
        <v>112</v>
      </c>
      <c r="F54">
        <v>1</v>
      </c>
      <c r="G54" s="41" t="s">
        <v>37</v>
      </c>
      <c r="H54" t="s">
        <v>375</v>
      </c>
    </row>
    <row r="55" spans="1:10" x14ac:dyDescent="0.25">
      <c r="A55" t="s">
        <v>26</v>
      </c>
      <c r="B55" t="s">
        <v>1</v>
      </c>
      <c r="C55" t="s">
        <v>8</v>
      </c>
      <c r="D55" t="s">
        <v>113</v>
      </c>
      <c r="E55" t="s">
        <v>114</v>
      </c>
      <c r="F55">
        <v>2</v>
      </c>
      <c r="G55" s="41" t="s">
        <v>37</v>
      </c>
      <c r="H55" t="s">
        <v>375</v>
      </c>
    </row>
    <row r="56" spans="1:10" x14ac:dyDescent="0.25">
      <c r="A56" t="s">
        <v>26</v>
      </c>
      <c r="B56" t="s">
        <v>5</v>
      </c>
      <c r="C56" t="s">
        <v>2</v>
      </c>
      <c r="D56" t="s">
        <v>115</v>
      </c>
      <c r="E56" t="s">
        <v>117</v>
      </c>
      <c r="G56" s="41" t="s">
        <v>116</v>
      </c>
      <c r="H56" t="s">
        <v>375</v>
      </c>
      <c r="J56" t="s">
        <v>118</v>
      </c>
    </row>
    <row r="57" spans="1:10" ht="26.4" x14ac:dyDescent="0.25">
      <c r="A57" t="s">
        <v>26</v>
      </c>
      <c r="B57" t="s">
        <v>5</v>
      </c>
      <c r="C57" t="s">
        <v>2</v>
      </c>
      <c r="D57" t="s">
        <v>119</v>
      </c>
      <c r="E57" t="s">
        <v>121</v>
      </c>
      <c r="F57">
        <v>66</v>
      </c>
      <c r="G57" s="41" t="s">
        <v>120</v>
      </c>
      <c r="H57" t="s">
        <v>375</v>
      </c>
      <c r="I57" s="39" t="s">
        <v>622</v>
      </c>
    </row>
    <row r="58" spans="1:10" x14ac:dyDescent="0.25">
      <c r="A58" t="s">
        <v>26</v>
      </c>
      <c r="B58" t="s">
        <v>5</v>
      </c>
      <c r="C58" t="s">
        <v>2</v>
      </c>
      <c r="D58" t="s">
        <v>122</v>
      </c>
      <c r="E58" t="s">
        <v>123</v>
      </c>
      <c r="G58" s="41" t="s">
        <v>49</v>
      </c>
      <c r="H58" t="s">
        <v>375</v>
      </c>
      <c r="J58" t="s">
        <v>124</v>
      </c>
    </row>
    <row r="59" spans="1:10" x14ac:dyDescent="0.25">
      <c r="A59" t="s">
        <v>26</v>
      </c>
      <c r="B59" t="s">
        <v>5</v>
      </c>
      <c r="C59" t="s">
        <v>2</v>
      </c>
      <c r="D59" t="s">
        <v>125</v>
      </c>
      <c r="E59" t="s">
        <v>126</v>
      </c>
      <c r="G59" s="41" t="s">
        <v>49</v>
      </c>
      <c r="H59" t="s">
        <v>375</v>
      </c>
      <c r="J59" t="s">
        <v>127</v>
      </c>
    </row>
    <row r="60" spans="1:10" x14ac:dyDescent="0.25">
      <c r="A60" t="s">
        <v>26</v>
      </c>
      <c r="B60" t="s">
        <v>5</v>
      </c>
      <c r="C60" t="s">
        <v>2</v>
      </c>
      <c r="D60" t="s">
        <v>128</v>
      </c>
      <c r="E60" t="s">
        <v>129</v>
      </c>
      <c r="G60" s="41" t="s">
        <v>49</v>
      </c>
      <c r="H60" t="s">
        <v>375</v>
      </c>
    </row>
    <row r="61" spans="1:10" x14ac:dyDescent="0.25">
      <c r="A61" t="s">
        <v>26</v>
      </c>
      <c r="B61" t="s">
        <v>5</v>
      </c>
      <c r="C61" t="s">
        <v>2</v>
      </c>
      <c r="D61" t="s">
        <v>130</v>
      </c>
      <c r="E61" t="s">
        <v>131</v>
      </c>
      <c r="G61" s="41" t="s">
        <v>49</v>
      </c>
      <c r="H61" t="s">
        <v>375</v>
      </c>
    </row>
    <row r="62" spans="1:10" x14ac:dyDescent="0.25">
      <c r="A62" t="s">
        <v>26</v>
      </c>
      <c r="B62" t="s">
        <v>5</v>
      </c>
      <c r="C62" t="s">
        <v>2</v>
      </c>
      <c r="D62" t="s">
        <v>132</v>
      </c>
      <c r="E62" t="s">
        <v>133</v>
      </c>
      <c r="G62" s="41" t="s">
        <v>49</v>
      </c>
      <c r="H62" t="s">
        <v>375</v>
      </c>
    </row>
    <row r="63" spans="1:10" x14ac:dyDescent="0.25">
      <c r="A63" t="s">
        <v>26</v>
      </c>
      <c r="B63" t="s">
        <v>5</v>
      </c>
      <c r="C63" t="s">
        <v>2</v>
      </c>
      <c r="D63" t="s">
        <v>134</v>
      </c>
      <c r="E63" t="s">
        <v>136</v>
      </c>
      <c r="G63" s="41" t="s">
        <v>135</v>
      </c>
      <c r="H63" t="s">
        <v>375</v>
      </c>
    </row>
    <row r="64" spans="1:10" x14ac:dyDescent="0.25">
      <c r="A64" t="s">
        <v>26</v>
      </c>
      <c r="B64" t="s">
        <v>1</v>
      </c>
      <c r="C64" t="s">
        <v>4</v>
      </c>
      <c r="D64" t="s">
        <v>137</v>
      </c>
      <c r="E64" t="s">
        <v>139</v>
      </c>
      <c r="G64" s="41" t="s">
        <v>138</v>
      </c>
      <c r="H64" t="s">
        <v>375</v>
      </c>
    </row>
    <row r="65" spans="1:10" x14ac:dyDescent="0.25">
      <c r="A65" t="s">
        <v>26</v>
      </c>
      <c r="B65" t="s">
        <v>1</v>
      </c>
      <c r="C65" t="s">
        <v>4</v>
      </c>
      <c r="D65" t="s">
        <v>140</v>
      </c>
      <c r="E65" t="s">
        <v>141</v>
      </c>
      <c r="G65" s="41" t="s">
        <v>138</v>
      </c>
      <c r="H65" t="s">
        <v>375</v>
      </c>
    </row>
    <row r="66" spans="1:10" x14ac:dyDescent="0.25">
      <c r="A66" t="s">
        <v>26</v>
      </c>
      <c r="B66" t="s">
        <v>1</v>
      </c>
      <c r="C66" t="s">
        <v>4</v>
      </c>
      <c r="D66" t="s">
        <v>142</v>
      </c>
      <c r="E66" t="s">
        <v>143</v>
      </c>
      <c r="G66" s="41" t="s">
        <v>138</v>
      </c>
      <c r="H66" t="s">
        <v>375</v>
      </c>
    </row>
    <row r="67" spans="1:10" x14ac:dyDescent="0.25">
      <c r="A67" t="s">
        <v>26</v>
      </c>
      <c r="B67" t="s">
        <v>1</v>
      </c>
      <c r="C67" t="s">
        <v>4</v>
      </c>
      <c r="D67" t="s">
        <v>144</v>
      </c>
      <c r="E67" t="s">
        <v>146</v>
      </c>
      <c r="G67" s="41" t="s">
        <v>145</v>
      </c>
      <c r="H67" t="s">
        <v>375</v>
      </c>
    </row>
    <row r="68" spans="1:10" x14ac:dyDescent="0.25">
      <c r="A68" t="s">
        <v>26</v>
      </c>
      <c r="B68" t="s">
        <v>1</v>
      </c>
      <c r="C68" t="s">
        <v>4</v>
      </c>
      <c r="D68" t="s">
        <v>147</v>
      </c>
      <c r="E68" t="s">
        <v>148</v>
      </c>
      <c r="G68" s="41" t="s">
        <v>138</v>
      </c>
      <c r="H68" t="s">
        <v>375</v>
      </c>
      <c r="J68" t="s">
        <v>149</v>
      </c>
    </row>
    <row r="69" spans="1:10" x14ac:dyDescent="0.25">
      <c r="A69" t="s">
        <v>26</v>
      </c>
      <c r="B69" t="s">
        <v>1</v>
      </c>
      <c r="C69" t="s">
        <v>4</v>
      </c>
      <c r="D69" t="s">
        <v>150</v>
      </c>
      <c r="E69" t="s">
        <v>151</v>
      </c>
      <c r="G69" s="41" t="s">
        <v>49</v>
      </c>
      <c r="H69" t="s">
        <v>375</v>
      </c>
      <c r="J69" t="s">
        <v>152</v>
      </c>
    </row>
    <row r="70" spans="1:10" x14ac:dyDescent="0.25">
      <c r="A70" t="s">
        <v>26</v>
      </c>
      <c r="B70" t="s">
        <v>1</v>
      </c>
      <c r="C70" t="s">
        <v>4</v>
      </c>
      <c r="D70" t="s">
        <v>153</v>
      </c>
      <c r="E70" t="s">
        <v>154</v>
      </c>
      <c r="G70" s="41" t="s">
        <v>138</v>
      </c>
      <c r="H70" t="s">
        <v>375</v>
      </c>
    </row>
    <row r="71" spans="1:10" x14ac:dyDescent="0.25">
      <c r="A71" t="s">
        <v>26</v>
      </c>
      <c r="B71" t="s">
        <v>1</v>
      </c>
      <c r="C71" t="s">
        <v>4</v>
      </c>
      <c r="D71" t="s">
        <v>155</v>
      </c>
      <c r="E71" t="s">
        <v>157</v>
      </c>
      <c r="G71" s="41" t="s">
        <v>156</v>
      </c>
      <c r="H71" t="s">
        <v>375</v>
      </c>
    </row>
    <row r="72" spans="1:10" x14ac:dyDescent="0.25">
      <c r="A72" t="s">
        <v>26</v>
      </c>
      <c r="B72" t="s">
        <v>1</v>
      </c>
      <c r="C72" t="s">
        <v>6</v>
      </c>
      <c r="D72" t="s">
        <v>158</v>
      </c>
      <c r="E72" t="s">
        <v>159</v>
      </c>
      <c r="G72" s="41" t="s">
        <v>138</v>
      </c>
      <c r="H72" t="s">
        <v>375</v>
      </c>
    </row>
    <row r="73" spans="1:10" x14ac:dyDescent="0.25">
      <c r="A73" t="s">
        <v>26</v>
      </c>
      <c r="B73" t="s">
        <v>1</v>
      </c>
      <c r="C73" t="s">
        <v>6</v>
      </c>
      <c r="D73" t="s">
        <v>160</v>
      </c>
      <c r="E73" t="s">
        <v>161</v>
      </c>
      <c r="G73" s="41" t="s">
        <v>138</v>
      </c>
      <c r="H73" t="s">
        <v>375</v>
      </c>
    </row>
    <row r="74" spans="1:10" x14ac:dyDescent="0.25">
      <c r="A74" t="s">
        <v>26</v>
      </c>
      <c r="B74" t="s">
        <v>1</v>
      </c>
      <c r="C74" t="s">
        <v>6</v>
      </c>
      <c r="D74" t="s">
        <v>162</v>
      </c>
      <c r="E74" t="s">
        <v>163</v>
      </c>
      <c r="G74" s="41" t="s">
        <v>138</v>
      </c>
      <c r="H74" t="s">
        <v>375</v>
      </c>
    </row>
    <row r="75" spans="1:10" x14ac:dyDescent="0.25">
      <c r="A75" t="s">
        <v>26</v>
      </c>
      <c r="B75" t="s">
        <v>1</v>
      </c>
      <c r="C75" t="s">
        <v>6</v>
      </c>
      <c r="D75" t="s">
        <v>164</v>
      </c>
      <c r="E75" t="s">
        <v>165</v>
      </c>
      <c r="G75" s="41" t="s">
        <v>138</v>
      </c>
      <c r="H75" t="s">
        <v>375</v>
      </c>
    </row>
    <row r="76" spans="1:10" x14ac:dyDescent="0.25">
      <c r="A76" t="s">
        <v>26</v>
      </c>
      <c r="B76" t="s">
        <v>1</v>
      </c>
      <c r="C76" t="s">
        <v>6</v>
      </c>
      <c r="D76" t="s">
        <v>166</v>
      </c>
      <c r="E76" t="s">
        <v>168</v>
      </c>
      <c r="G76" s="41" t="s">
        <v>167</v>
      </c>
      <c r="H76" t="s">
        <v>375</v>
      </c>
    </row>
    <row r="77" spans="1:10" x14ac:dyDescent="0.25">
      <c r="A77" t="s">
        <v>26</v>
      </c>
      <c r="B77" t="s">
        <v>1</v>
      </c>
      <c r="C77" t="s">
        <v>6</v>
      </c>
      <c r="D77" t="s">
        <v>169</v>
      </c>
      <c r="E77" t="s">
        <v>170</v>
      </c>
      <c r="G77" s="41" t="s">
        <v>49</v>
      </c>
      <c r="H77" t="s">
        <v>375</v>
      </c>
    </row>
    <row r="78" spans="1:10" x14ac:dyDescent="0.25">
      <c r="A78" t="s">
        <v>26</v>
      </c>
      <c r="B78" t="s">
        <v>1</v>
      </c>
      <c r="C78" t="s">
        <v>6</v>
      </c>
      <c r="D78" t="s">
        <v>171</v>
      </c>
      <c r="E78" t="s">
        <v>172</v>
      </c>
      <c r="G78" s="41" t="s">
        <v>156</v>
      </c>
      <c r="H78" t="s">
        <v>375</v>
      </c>
    </row>
    <row r="79" spans="1:10" x14ac:dyDescent="0.25">
      <c r="A79" t="s">
        <v>26</v>
      </c>
      <c r="B79" t="s">
        <v>1</v>
      </c>
      <c r="C79" t="s">
        <v>6</v>
      </c>
      <c r="D79" t="s">
        <v>173</v>
      </c>
      <c r="E79" t="s">
        <v>174</v>
      </c>
      <c r="G79" s="41" t="s">
        <v>61</v>
      </c>
      <c r="H79" t="s">
        <v>375</v>
      </c>
      <c r="J79" t="s">
        <v>175</v>
      </c>
    </row>
    <row r="80" spans="1:10" x14ac:dyDescent="0.25">
      <c r="A80" t="s">
        <v>26</v>
      </c>
      <c r="B80" t="s">
        <v>1</v>
      </c>
      <c r="C80" t="s">
        <v>6</v>
      </c>
      <c r="D80" t="s">
        <v>176</v>
      </c>
      <c r="E80" t="s">
        <v>177</v>
      </c>
      <c r="G80" s="41" t="s">
        <v>61</v>
      </c>
      <c r="H80" t="s">
        <v>375</v>
      </c>
      <c r="J80" t="s">
        <v>175</v>
      </c>
    </row>
    <row r="81" spans="1:10" x14ac:dyDescent="0.25">
      <c r="A81" t="s">
        <v>26</v>
      </c>
      <c r="B81" t="s">
        <v>1</v>
      </c>
      <c r="C81" t="s">
        <v>6</v>
      </c>
      <c r="D81" t="s">
        <v>178</v>
      </c>
      <c r="E81" t="s">
        <v>179</v>
      </c>
      <c r="G81" s="41" t="s">
        <v>61</v>
      </c>
      <c r="H81" t="s">
        <v>375</v>
      </c>
      <c r="J81" t="s">
        <v>175</v>
      </c>
    </row>
    <row r="82" spans="1:10" x14ac:dyDescent="0.25">
      <c r="A82" t="s">
        <v>26</v>
      </c>
      <c r="B82" t="s">
        <v>5</v>
      </c>
      <c r="C82" t="s">
        <v>7</v>
      </c>
      <c r="D82" t="s">
        <v>180</v>
      </c>
      <c r="E82" t="s">
        <v>181</v>
      </c>
      <c r="G82" s="41" t="s">
        <v>49</v>
      </c>
      <c r="H82" t="s">
        <v>375</v>
      </c>
    </row>
    <row r="83" spans="1:10" x14ac:dyDescent="0.25">
      <c r="A83" t="s">
        <v>26</v>
      </c>
      <c r="B83" t="s">
        <v>5</v>
      </c>
      <c r="C83" t="s">
        <v>7</v>
      </c>
      <c r="D83" t="s">
        <v>182</v>
      </c>
      <c r="E83" t="s">
        <v>183</v>
      </c>
      <c r="G83" s="41" t="s">
        <v>138</v>
      </c>
      <c r="H83" t="s">
        <v>375</v>
      </c>
    </row>
    <row r="84" spans="1:10" x14ac:dyDescent="0.25">
      <c r="A84" t="s">
        <v>26</v>
      </c>
      <c r="B84" t="s">
        <v>5</v>
      </c>
      <c r="C84" t="s">
        <v>7</v>
      </c>
      <c r="D84" t="s">
        <v>184</v>
      </c>
      <c r="E84" t="s">
        <v>185</v>
      </c>
      <c r="G84" s="41" t="s">
        <v>138</v>
      </c>
      <c r="H84" t="s">
        <v>375</v>
      </c>
    </row>
    <row r="85" spans="1:10" x14ac:dyDescent="0.25">
      <c r="A85" t="s">
        <v>26</v>
      </c>
      <c r="B85" t="s">
        <v>5</v>
      </c>
      <c r="C85" t="s">
        <v>7</v>
      </c>
      <c r="D85" t="s">
        <v>186</v>
      </c>
      <c r="E85" t="s">
        <v>187</v>
      </c>
      <c r="G85" s="41" t="s">
        <v>138</v>
      </c>
      <c r="H85" t="s">
        <v>375</v>
      </c>
    </row>
    <row r="86" spans="1:10" x14ac:dyDescent="0.25">
      <c r="A86" t="s">
        <v>26</v>
      </c>
      <c r="B86" t="s">
        <v>5</v>
      </c>
      <c r="C86" t="s">
        <v>7</v>
      </c>
      <c r="D86" t="s">
        <v>188</v>
      </c>
      <c r="E86" t="s">
        <v>189</v>
      </c>
      <c r="G86" s="41" t="s">
        <v>138</v>
      </c>
      <c r="H86" t="s">
        <v>375</v>
      </c>
    </row>
    <row r="87" spans="1:10" x14ac:dyDescent="0.25">
      <c r="A87" t="s">
        <v>26</v>
      </c>
      <c r="B87" t="s">
        <v>5</v>
      </c>
      <c r="C87" t="s">
        <v>7</v>
      </c>
      <c r="D87" t="s">
        <v>190</v>
      </c>
      <c r="E87" t="s">
        <v>191</v>
      </c>
      <c r="G87" s="41" t="s">
        <v>138</v>
      </c>
      <c r="H87" t="s">
        <v>375</v>
      </c>
    </row>
    <row r="88" spans="1:10" x14ac:dyDescent="0.25">
      <c r="A88" t="s">
        <v>26</v>
      </c>
      <c r="B88" t="s">
        <v>5</v>
      </c>
      <c r="C88" t="s">
        <v>7</v>
      </c>
      <c r="D88" t="s">
        <v>192</v>
      </c>
      <c r="E88" t="s">
        <v>193</v>
      </c>
      <c r="G88" s="41" t="s">
        <v>138</v>
      </c>
      <c r="H88" t="s">
        <v>375</v>
      </c>
    </row>
    <row r="89" spans="1:10" x14ac:dyDescent="0.25">
      <c r="A89" t="s">
        <v>26</v>
      </c>
      <c r="B89" t="s">
        <v>5</v>
      </c>
      <c r="C89" t="s">
        <v>7</v>
      </c>
      <c r="D89" t="s">
        <v>194</v>
      </c>
      <c r="E89" t="s">
        <v>195</v>
      </c>
      <c r="G89" s="41" t="s">
        <v>138</v>
      </c>
      <c r="H89" t="s">
        <v>375</v>
      </c>
    </row>
    <row r="90" spans="1:10" x14ac:dyDescent="0.25">
      <c r="A90" t="s">
        <v>26</v>
      </c>
      <c r="B90" t="s">
        <v>5</v>
      </c>
      <c r="C90" t="s">
        <v>7</v>
      </c>
      <c r="D90" t="s">
        <v>196</v>
      </c>
      <c r="E90" t="s">
        <v>197</v>
      </c>
      <c r="G90" s="41" t="s">
        <v>167</v>
      </c>
      <c r="H90" t="s">
        <v>375</v>
      </c>
    </row>
    <row r="91" spans="1:10" x14ac:dyDescent="0.25">
      <c r="A91" t="s">
        <v>26</v>
      </c>
      <c r="B91" t="s">
        <v>5</v>
      </c>
      <c r="C91" t="s">
        <v>7</v>
      </c>
      <c r="D91" t="s">
        <v>198</v>
      </c>
      <c r="E91" t="s">
        <v>199</v>
      </c>
      <c r="G91" s="41" t="s">
        <v>167</v>
      </c>
      <c r="H91" t="s">
        <v>375</v>
      </c>
      <c r="J91" t="s">
        <v>175</v>
      </c>
    </row>
    <row r="92" spans="1:10" x14ac:dyDescent="0.25">
      <c r="A92" t="s">
        <v>26</v>
      </c>
      <c r="B92" t="s">
        <v>5</v>
      </c>
      <c r="C92" t="s">
        <v>7</v>
      </c>
      <c r="D92" t="s">
        <v>200</v>
      </c>
      <c r="E92" t="s">
        <v>201</v>
      </c>
      <c r="G92" s="41" t="s">
        <v>49</v>
      </c>
      <c r="H92" t="s">
        <v>375</v>
      </c>
      <c r="J92" t="s">
        <v>202</v>
      </c>
    </row>
    <row r="93" spans="1:10" x14ac:dyDescent="0.25">
      <c r="A93" t="s">
        <v>26</v>
      </c>
      <c r="B93" t="s">
        <v>5</v>
      </c>
      <c r="C93" t="s">
        <v>7</v>
      </c>
      <c r="D93" t="s">
        <v>203</v>
      </c>
      <c r="E93" t="s">
        <v>205</v>
      </c>
      <c r="G93" s="41" t="s">
        <v>204</v>
      </c>
      <c r="H93" t="s">
        <v>375</v>
      </c>
    </row>
    <row r="94" spans="1:10" x14ac:dyDescent="0.25">
      <c r="A94" t="s">
        <v>26</v>
      </c>
      <c r="B94" t="s">
        <v>5</v>
      </c>
      <c r="C94" t="s">
        <v>7</v>
      </c>
      <c r="D94" t="s">
        <v>206</v>
      </c>
      <c r="E94" t="s">
        <v>207</v>
      </c>
      <c r="G94" s="41" t="s">
        <v>156</v>
      </c>
      <c r="H94" t="s">
        <v>375</v>
      </c>
    </row>
    <row r="95" spans="1:10" x14ac:dyDescent="0.25">
      <c r="A95" t="s">
        <v>26</v>
      </c>
      <c r="B95" t="s">
        <v>5</v>
      </c>
      <c r="C95" t="s">
        <v>7</v>
      </c>
      <c r="D95" t="s">
        <v>208</v>
      </c>
      <c r="E95" t="s">
        <v>209</v>
      </c>
      <c r="G95" s="41" t="s">
        <v>156</v>
      </c>
      <c r="H95" t="s">
        <v>375</v>
      </c>
    </row>
    <row r="96" spans="1:10" x14ac:dyDescent="0.25">
      <c r="A96" t="s">
        <v>26</v>
      </c>
      <c r="B96" t="s">
        <v>5</v>
      </c>
      <c r="C96" t="s">
        <v>7</v>
      </c>
      <c r="D96" t="s">
        <v>210</v>
      </c>
      <c r="E96" t="s">
        <v>211</v>
      </c>
      <c r="G96" s="41" t="s">
        <v>156</v>
      </c>
      <c r="H96" t="s">
        <v>375</v>
      </c>
    </row>
    <row r="97" spans="1:10" x14ac:dyDescent="0.25">
      <c r="A97" t="s">
        <v>26</v>
      </c>
      <c r="B97" t="s">
        <v>5</v>
      </c>
      <c r="C97" t="s">
        <v>7</v>
      </c>
      <c r="D97" t="s">
        <v>212</v>
      </c>
      <c r="E97" t="s">
        <v>213</v>
      </c>
      <c r="G97" s="41" t="s">
        <v>61</v>
      </c>
      <c r="H97" t="s">
        <v>375</v>
      </c>
    </row>
    <row r="98" spans="1:10" x14ac:dyDescent="0.25">
      <c r="A98" t="s">
        <v>26</v>
      </c>
      <c r="B98" t="s">
        <v>5</v>
      </c>
      <c r="C98" t="s">
        <v>7</v>
      </c>
      <c r="D98" t="s">
        <v>214</v>
      </c>
      <c r="E98" t="s">
        <v>215</v>
      </c>
      <c r="G98" s="41" t="s">
        <v>61</v>
      </c>
      <c r="H98" t="s">
        <v>375</v>
      </c>
    </row>
    <row r="99" spans="1:10" x14ac:dyDescent="0.25">
      <c r="A99" t="s">
        <v>26</v>
      </c>
      <c r="B99" t="s">
        <v>5</v>
      </c>
      <c r="C99" t="s">
        <v>7</v>
      </c>
      <c r="D99" t="s">
        <v>216</v>
      </c>
      <c r="E99" t="s">
        <v>217</v>
      </c>
      <c r="G99" s="41" t="s">
        <v>61</v>
      </c>
      <c r="H99" t="s">
        <v>375</v>
      </c>
    </row>
    <row r="100" spans="1:10" x14ac:dyDescent="0.25">
      <c r="A100" t="s">
        <v>26</v>
      </c>
      <c r="B100" t="s">
        <v>5</v>
      </c>
      <c r="C100" t="s">
        <v>7</v>
      </c>
      <c r="D100" t="s">
        <v>220</v>
      </c>
      <c r="E100" t="s">
        <v>221</v>
      </c>
      <c r="G100" s="41" t="s">
        <v>61</v>
      </c>
      <c r="H100" t="s">
        <v>375</v>
      </c>
      <c r="J100" t="s">
        <v>219</v>
      </c>
    </row>
    <row r="101" spans="1:10" x14ac:dyDescent="0.25">
      <c r="A101" t="s">
        <v>26</v>
      </c>
      <c r="B101" t="s">
        <v>5</v>
      </c>
      <c r="C101" t="s">
        <v>7</v>
      </c>
      <c r="D101" t="s">
        <v>222</v>
      </c>
      <c r="E101" t="s">
        <v>223</v>
      </c>
      <c r="G101" s="41" t="s">
        <v>49</v>
      </c>
      <c r="H101" t="s">
        <v>375</v>
      </c>
      <c r="J101" t="s">
        <v>175</v>
      </c>
    </row>
    <row r="102" spans="1:10" x14ac:dyDescent="0.25">
      <c r="A102" t="s">
        <v>26</v>
      </c>
      <c r="B102" t="s">
        <v>5</v>
      </c>
      <c r="C102" t="s">
        <v>7</v>
      </c>
      <c r="D102" t="s">
        <v>224</v>
      </c>
      <c r="E102" t="s">
        <v>225</v>
      </c>
      <c r="G102" s="41" t="s">
        <v>49</v>
      </c>
      <c r="H102" t="s">
        <v>375</v>
      </c>
      <c r="J102" t="s">
        <v>175</v>
      </c>
    </row>
    <row r="103" spans="1:10" x14ac:dyDescent="0.25">
      <c r="A103" t="s">
        <v>26</v>
      </c>
      <c r="B103" t="s">
        <v>1</v>
      </c>
      <c r="C103" t="s">
        <v>8</v>
      </c>
      <c r="D103" t="s">
        <v>226</v>
      </c>
      <c r="E103" t="s">
        <v>227</v>
      </c>
      <c r="G103" s="41" t="s">
        <v>49</v>
      </c>
      <c r="H103" t="s">
        <v>375</v>
      </c>
      <c r="J103" t="s">
        <v>228</v>
      </c>
    </row>
    <row r="104" spans="1:10" x14ac:dyDescent="0.25">
      <c r="A104" t="s">
        <v>26</v>
      </c>
      <c r="B104" t="s">
        <v>5</v>
      </c>
      <c r="C104" t="s">
        <v>8</v>
      </c>
      <c r="D104" t="s">
        <v>229</v>
      </c>
      <c r="E104" t="s">
        <v>230</v>
      </c>
      <c r="G104" s="41" t="s">
        <v>49</v>
      </c>
      <c r="H104" t="s">
        <v>375</v>
      </c>
    </row>
    <row r="105" spans="1:10" x14ac:dyDescent="0.25">
      <c r="A105" t="s">
        <v>26</v>
      </c>
      <c r="B105" t="s">
        <v>5</v>
      </c>
      <c r="C105" t="s">
        <v>8</v>
      </c>
      <c r="D105" t="s">
        <v>231</v>
      </c>
      <c r="E105" t="s">
        <v>232</v>
      </c>
      <c r="G105" s="41" t="s">
        <v>49</v>
      </c>
      <c r="H105" t="s">
        <v>375</v>
      </c>
    </row>
    <row r="106" spans="1:10" x14ac:dyDescent="0.25">
      <c r="A106" t="s">
        <v>26</v>
      </c>
      <c r="B106" t="s">
        <v>5</v>
      </c>
      <c r="C106" t="s">
        <v>8</v>
      </c>
      <c r="D106" t="s">
        <v>233</v>
      </c>
      <c r="E106" t="s">
        <v>234</v>
      </c>
      <c r="G106" s="41" t="s">
        <v>61</v>
      </c>
      <c r="H106" t="s">
        <v>375</v>
      </c>
      <c r="J106" t="s">
        <v>219</v>
      </c>
    </row>
    <row r="107" spans="1:10" x14ac:dyDescent="0.25">
      <c r="A107" t="s">
        <v>26</v>
      </c>
      <c r="B107" t="s">
        <v>5</v>
      </c>
      <c r="C107" t="s">
        <v>8</v>
      </c>
      <c r="D107" t="s">
        <v>235</v>
      </c>
      <c r="E107" t="s">
        <v>236</v>
      </c>
      <c r="G107" s="41" t="s">
        <v>61</v>
      </c>
      <c r="H107" t="s">
        <v>375</v>
      </c>
      <c r="J107" t="s">
        <v>219</v>
      </c>
    </row>
    <row r="108" spans="1:10" x14ac:dyDescent="0.25">
      <c r="A108" t="s">
        <v>26</v>
      </c>
      <c r="B108" t="s">
        <v>1</v>
      </c>
      <c r="C108" t="s">
        <v>8</v>
      </c>
      <c r="D108" t="s">
        <v>237</v>
      </c>
      <c r="E108" t="s">
        <v>238</v>
      </c>
      <c r="G108" s="41" t="s">
        <v>138</v>
      </c>
      <c r="H108" t="s">
        <v>375</v>
      </c>
    </row>
    <row r="109" spans="1:10" x14ac:dyDescent="0.25">
      <c r="A109" t="s">
        <v>26</v>
      </c>
      <c r="B109" t="s">
        <v>1</v>
      </c>
      <c r="C109" t="s">
        <v>8</v>
      </c>
      <c r="D109" t="s">
        <v>239</v>
      </c>
      <c r="E109" t="s">
        <v>240</v>
      </c>
      <c r="G109" s="41" t="s">
        <v>138</v>
      </c>
      <c r="H109" t="s">
        <v>375</v>
      </c>
    </row>
    <row r="110" spans="1:10" x14ac:dyDescent="0.25">
      <c r="A110" t="s">
        <v>26</v>
      </c>
      <c r="B110" t="s">
        <v>1</v>
      </c>
      <c r="C110" t="s">
        <v>8</v>
      </c>
      <c r="D110" t="s">
        <v>241</v>
      </c>
      <c r="E110" t="s">
        <v>242</v>
      </c>
      <c r="G110" s="41" t="s">
        <v>145</v>
      </c>
      <c r="H110" t="s">
        <v>375</v>
      </c>
    </row>
    <row r="111" spans="1:10" x14ac:dyDescent="0.25">
      <c r="A111" t="s">
        <v>26</v>
      </c>
      <c r="B111" t="s">
        <v>1</v>
      </c>
      <c r="C111" t="s">
        <v>7</v>
      </c>
      <c r="D111" t="s">
        <v>382</v>
      </c>
      <c r="E111" t="s">
        <v>383</v>
      </c>
      <c r="F111" s="35" t="s">
        <v>388</v>
      </c>
      <c r="H111" t="s">
        <v>375</v>
      </c>
      <c r="I111" s="38" t="s">
        <v>626</v>
      </c>
      <c r="J111" s="35" t="s">
        <v>389</v>
      </c>
    </row>
    <row r="112" spans="1:10" x14ac:dyDescent="0.25">
      <c r="A112" t="s">
        <v>26</v>
      </c>
      <c r="B112" t="s">
        <v>1</v>
      </c>
      <c r="C112" t="s">
        <v>7</v>
      </c>
      <c r="D112" t="s">
        <v>384</v>
      </c>
      <c r="E112" s="35" t="s">
        <v>385</v>
      </c>
      <c r="F112" t="s">
        <v>386</v>
      </c>
      <c r="H112" t="s">
        <v>375</v>
      </c>
      <c r="J112" t="s">
        <v>387</v>
      </c>
    </row>
    <row r="113" spans="1:10" ht="26.4" x14ac:dyDescent="0.25">
      <c r="A113" t="s">
        <v>26</v>
      </c>
      <c r="B113" t="s">
        <v>1</v>
      </c>
      <c r="C113" t="s">
        <v>7</v>
      </c>
      <c r="D113" t="s">
        <v>392</v>
      </c>
      <c r="E113" s="35" t="s">
        <v>393</v>
      </c>
      <c r="F113">
        <v>331406</v>
      </c>
      <c r="G113" s="41" t="s">
        <v>394</v>
      </c>
      <c r="H113" t="s">
        <v>376</v>
      </c>
      <c r="I113" s="39" t="s">
        <v>621</v>
      </c>
    </row>
    <row r="114" spans="1:10" x14ac:dyDescent="0.25">
      <c r="A114" t="s">
        <v>26</v>
      </c>
      <c r="B114" t="s">
        <v>1</v>
      </c>
      <c r="C114" t="s">
        <v>7</v>
      </c>
      <c r="D114" t="s">
        <v>395</v>
      </c>
      <c r="E114" s="35" t="s">
        <v>396</v>
      </c>
      <c r="F114">
        <f>93070/2</f>
        <v>46535</v>
      </c>
      <c r="G114" s="41" t="s">
        <v>394</v>
      </c>
      <c r="H114" t="s">
        <v>376</v>
      </c>
      <c r="I114" s="39" t="s">
        <v>621</v>
      </c>
    </row>
    <row r="115" spans="1:10" x14ac:dyDescent="0.25">
      <c r="A115" t="s">
        <v>26</v>
      </c>
      <c r="B115" t="s">
        <v>1</v>
      </c>
      <c r="C115" t="s">
        <v>7</v>
      </c>
      <c r="D115" t="s">
        <v>397</v>
      </c>
      <c r="E115" s="35" t="s">
        <v>398</v>
      </c>
      <c r="F115">
        <f>93070/2</f>
        <v>46535</v>
      </c>
      <c r="G115" s="41" t="s">
        <v>394</v>
      </c>
      <c r="H115" t="s">
        <v>376</v>
      </c>
      <c r="I115" s="39" t="s">
        <v>621</v>
      </c>
    </row>
    <row r="116" spans="1:10" x14ac:dyDescent="0.25">
      <c r="A116" t="s">
        <v>26</v>
      </c>
      <c r="B116" t="s">
        <v>1</v>
      </c>
      <c r="C116" t="s">
        <v>6</v>
      </c>
      <c r="D116" t="s">
        <v>399</v>
      </c>
      <c r="E116" s="35" t="s">
        <v>400</v>
      </c>
      <c r="F116">
        <v>50300</v>
      </c>
      <c r="G116" s="41" t="s">
        <v>394</v>
      </c>
      <c r="H116" t="s">
        <v>376</v>
      </c>
      <c r="I116" s="39" t="s">
        <v>621</v>
      </c>
    </row>
    <row r="117" spans="1:10" s="75" customFormat="1" x14ac:dyDescent="0.25">
      <c r="A117" s="75" t="s">
        <v>26</v>
      </c>
      <c r="B117" s="75" t="s">
        <v>1</v>
      </c>
      <c r="C117" s="75" t="s">
        <v>8</v>
      </c>
      <c r="D117" s="75" t="s">
        <v>401</v>
      </c>
      <c r="E117" s="76" t="s">
        <v>617</v>
      </c>
      <c r="F117" s="75">
        <v>61.6</v>
      </c>
      <c r="G117" s="77" t="s">
        <v>61</v>
      </c>
      <c r="H117" s="75" t="s">
        <v>376</v>
      </c>
      <c r="I117" s="78" t="s">
        <v>621</v>
      </c>
    </row>
    <row r="118" spans="1:10" s="75" customFormat="1" ht="26.4" x14ac:dyDescent="0.25">
      <c r="A118" s="75" t="s">
        <v>26</v>
      </c>
      <c r="B118" s="75" t="s">
        <v>1</v>
      </c>
      <c r="C118" s="75" t="s">
        <v>8</v>
      </c>
      <c r="D118" s="75" t="s">
        <v>402</v>
      </c>
      <c r="E118" s="76" t="s">
        <v>618</v>
      </c>
      <c r="F118" s="75">
        <v>76.599999999999994</v>
      </c>
      <c r="G118" s="77" t="s">
        <v>61</v>
      </c>
      <c r="H118" s="75" t="s">
        <v>376</v>
      </c>
      <c r="I118" s="78" t="s">
        <v>623</v>
      </c>
      <c r="J118" s="79" t="s">
        <v>536</v>
      </c>
    </row>
    <row r="119" spans="1:10" s="75" customFormat="1" x14ac:dyDescent="0.25">
      <c r="A119" s="75" t="s">
        <v>26</v>
      </c>
      <c r="B119" s="75" t="s">
        <v>1</v>
      </c>
      <c r="C119" s="75" t="s">
        <v>8</v>
      </c>
      <c r="D119" s="76" t="s">
        <v>404</v>
      </c>
      <c r="E119" s="76" t="s">
        <v>619</v>
      </c>
      <c r="F119" s="75">
        <f t="shared" ref="F119" si="0">81.4-30.2</f>
        <v>51.2</v>
      </c>
      <c r="G119" s="77" t="s">
        <v>61</v>
      </c>
      <c r="H119" s="75" t="s">
        <v>376</v>
      </c>
      <c r="I119" s="78" t="s">
        <v>621</v>
      </c>
    </row>
    <row r="120" spans="1:10" s="75" customFormat="1" x14ac:dyDescent="0.25">
      <c r="A120" s="75" t="s">
        <v>26</v>
      </c>
      <c r="B120" s="75" t="s">
        <v>1</v>
      </c>
      <c r="C120" s="76" t="s">
        <v>8</v>
      </c>
      <c r="D120" s="75" t="s">
        <v>405</v>
      </c>
      <c r="E120" s="76" t="s">
        <v>620</v>
      </c>
      <c r="F120" s="75">
        <f>46.7-30.2</f>
        <v>16.500000000000004</v>
      </c>
      <c r="G120" s="77" t="s">
        <v>61</v>
      </c>
      <c r="H120" s="75" t="s">
        <v>376</v>
      </c>
      <c r="I120" s="78" t="s">
        <v>621</v>
      </c>
    </row>
    <row r="121" spans="1:10" s="61" customFormat="1" x14ac:dyDescent="0.25">
      <c r="A121" s="61" t="s">
        <v>26</v>
      </c>
      <c r="B121" s="61" t="s">
        <v>1</v>
      </c>
      <c r="C121" s="61" t="s">
        <v>8</v>
      </c>
      <c r="D121" s="61" t="s">
        <v>401</v>
      </c>
      <c r="E121" s="63" t="s">
        <v>605</v>
      </c>
      <c r="F121">
        <v>61.6</v>
      </c>
      <c r="G121" s="62" t="s">
        <v>61</v>
      </c>
      <c r="H121" s="61" t="s">
        <v>376</v>
      </c>
      <c r="I121" s="64" t="s">
        <v>621</v>
      </c>
    </row>
    <row r="122" spans="1:10" s="61" customFormat="1" x14ac:dyDescent="0.25">
      <c r="A122" s="61" t="s">
        <v>26</v>
      </c>
      <c r="B122" s="61" t="s">
        <v>1</v>
      </c>
      <c r="C122" s="61" t="s">
        <v>8</v>
      </c>
      <c r="D122" s="61" t="s">
        <v>402</v>
      </c>
      <c r="E122" s="63" t="s">
        <v>607</v>
      </c>
      <c r="F122">
        <v>76.599999999999994</v>
      </c>
      <c r="G122" s="62" t="s">
        <v>61</v>
      </c>
      <c r="H122" s="61" t="s">
        <v>376</v>
      </c>
      <c r="I122" s="64" t="s">
        <v>444</v>
      </c>
      <c r="J122" s="65" t="s">
        <v>536</v>
      </c>
    </row>
    <row r="123" spans="1:10" s="61" customFormat="1" x14ac:dyDescent="0.25">
      <c r="A123" s="61" t="s">
        <v>26</v>
      </c>
      <c r="B123" s="61" t="s">
        <v>1</v>
      </c>
      <c r="C123" s="61" t="s">
        <v>8</v>
      </c>
      <c r="D123" s="63" t="s">
        <v>404</v>
      </c>
      <c r="E123" s="63" t="s">
        <v>608</v>
      </c>
      <c r="F123">
        <f t="shared" ref="F123" si="1">81.4-30.2</f>
        <v>51.2</v>
      </c>
      <c r="G123" s="62" t="s">
        <v>61</v>
      </c>
      <c r="H123" s="61" t="s">
        <v>376</v>
      </c>
      <c r="I123" s="64" t="s">
        <v>621</v>
      </c>
    </row>
    <row r="124" spans="1:10" s="61" customFormat="1" x14ac:dyDescent="0.25">
      <c r="A124" s="61" t="s">
        <v>26</v>
      </c>
      <c r="B124" s="61" t="s">
        <v>1</v>
      </c>
      <c r="C124" s="63" t="s">
        <v>8</v>
      </c>
      <c r="D124" s="61" t="s">
        <v>405</v>
      </c>
      <c r="E124" s="63" t="s">
        <v>609</v>
      </c>
      <c r="F124">
        <f>46.7-30.2</f>
        <v>16.500000000000004</v>
      </c>
      <c r="G124" s="62" t="s">
        <v>61</v>
      </c>
      <c r="H124" s="61" t="s">
        <v>376</v>
      </c>
      <c r="I124" s="64" t="s">
        <v>621</v>
      </c>
    </row>
    <row r="125" spans="1:10" s="61" customFormat="1" x14ac:dyDescent="0.25">
      <c r="A125" s="61" t="s">
        <v>26</v>
      </c>
      <c r="B125" s="61" t="s">
        <v>1</v>
      </c>
      <c r="C125" s="61" t="s">
        <v>8</v>
      </c>
      <c r="D125" s="61" t="s">
        <v>401</v>
      </c>
      <c r="E125" s="63" t="s">
        <v>606</v>
      </c>
      <c r="F125">
        <v>61.6</v>
      </c>
      <c r="G125" s="62" t="s">
        <v>61</v>
      </c>
      <c r="H125" s="61" t="s">
        <v>376</v>
      </c>
      <c r="I125" s="64" t="s">
        <v>621</v>
      </c>
    </row>
    <row r="126" spans="1:10" s="61" customFormat="1" x14ac:dyDescent="0.25">
      <c r="A126" s="61" t="s">
        <v>26</v>
      </c>
      <c r="B126" s="61" t="s">
        <v>1</v>
      </c>
      <c r="C126" s="61" t="s">
        <v>8</v>
      </c>
      <c r="D126" s="61" t="s">
        <v>402</v>
      </c>
      <c r="E126" s="63" t="s">
        <v>610</v>
      </c>
      <c r="F126">
        <v>76.599999999999994</v>
      </c>
      <c r="G126" s="62" t="s">
        <v>61</v>
      </c>
      <c r="H126" s="61" t="s">
        <v>376</v>
      </c>
      <c r="I126" s="64" t="s">
        <v>444</v>
      </c>
      <c r="J126" s="65" t="s">
        <v>536</v>
      </c>
    </row>
    <row r="127" spans="1:10" s="61" customFormat="1" x14ac:dyDescent="0.25">
      <c r="A127" s="61" t="s">
        <v>26</v>
      </c>
      <c r="B127" s="61" t="s">
        <v>1</v>
      </c>
      <c r="C127" s="61" t="s">
        <v>8</v>
      </c>
      <c r="D127" s="63" t="s">
        <v>404</v>
      </c>
      <c r="E127" s="63" t="s">
        <v>611</v>
      </c>
      <c r="F127">
        <f t="shared" ref="F127" si="2">81.4-30.2</f>
        <v>51.2</v>
      </c>
      <c r="G127" s="62" t="s">
        <v>61</v>
      </c>
      <c r="H127" s="61" t="s">
        <v>376</v>
      </c>
      <c r="I127" s="64" t="s">
        <v>621</v>
      </c>
    </row>
    <row r="128" spans="1:10" s="61" customFormat="1" x14ac:dyDescent="0.25">
      <c r="A128" s="61" t="s">
        <v>26</v>
      </c>
      <c r="B128" s="61" t="s">
        <v>1</v>
      </c>
      <c r="C128" s="63" t="s">
        <v>8</v>
      </c>
      <c r="D128" s="61" t="s">
        <v>405</v>
      </c>
      <c r="E128" s="63" t="s">
        <v>612</v>
      </c>
      <c r="F128">
        <f t="shared" ref="F128" si="3">46.7-30.2</f>
        <v>16.500000000000004</v>
      </c>
      <c r="G128" s="62" t="s">
        <v>61</v>
      </c>
      <c r="H128" s="61" t="s">
        <v>376</v>
      </c>
      <c r="I128" s="64" t="s">
        <v>621</v>
      </c>
    </row>
    <row r="129" spans="1:10" s="61" customFormat="1" x14ac:dyDescent="0.25">
      <c r="A129" s="61" t="s">
        <v>26</v>
      </c>
      <c r="B129" s="61" t="s">
        <v>1</v>
      </c>
      <c r="C129" s="61" t="s">
        <v>8</v>
      </c>
      <c r="D129" s="61" t="s">
        <v>401</v>
      </c>
      <c r="E129" s="63" t="s">
        <v>613</v>
      </c>
      <c r="F129">
        <v>61.6</v>
      </c>
      <c r="G129" s="62" t="s">
        <v>61</v>
      </c>
      <c r="H129" s="61" t="s">
        <v>376</v>
      </c>
      <c r="I129" s="64" t="s">
        <v>621</v>
      </c>
    </row>
    <row r="130" spans="1:10" s="61" customFormat="1" x14ac:dyDescent="0.25">
      <c r="A130" s="61" t="s">
        <v>26</v>
      </c>
      <c r="B130" s="61" t="s">
        <v>1</v>
      </c>
      <c r="C130" s="61" t="s">
        <v>8</v>
      </c>
      <c r="D130" s="61" t="s">
        <v>402</v>
      </c>
      <c r="E130" s="63" t="s">
        <v>614</v>
      </c>
      <c r="F130" s="46">
        <v>76.599999999999994</v>
      </c>
      <c r="G130" s="62" t="s">
        <v>61</v>
      </c>
      <c r="H130" s="61" t="s">
        <v>376</v>
      </c>
      <c r="I130" s="64" t="s">
        <v>444</v>
      </c>
      <c r="J130" s="65" t="s">
        <v>536</v>
      </c>
    </row>
    <row r="131" spans="1:10" s="61" customFormat="1" x14ac:dyDescent="0.25">
      <c r="A131" s="61" t="s">
        <v>26</v>
      </c>
      <c r="B131" s="61" t="s">
        <v>1</v>
      </c>
      <c r="C131" s="61" t="s">
        <v>8</v>
      </c>
      <c r="D131" s="63" t="s">
        <v>404</v>
      </c>
      <c r="E131" s="63" t="s">
        <v>615</v>
      </c>
      <c r="F131">
        <f t="shared" ref="F131" si="4">81.4-30.2</f>
        <v>51.2</v>
      </c>
      <c r="G131" s="62" t="s">
        <v>61</v>
      </c>
      <c r="H131" s="61" t="s">
        <v>376</v>
      </c>
      <c r="I131" s="64" t="s">
        <v>621</v>
      </c>
    </row>
    <row r="132" spans="1:10" s="61" customFormat="1" x14ac:dyDescent="0.25">
      <c r="A132" s="61" t="s">
        <v>26</v>
      </c>
      <c r="B132" s="61" t="s">
        <v>1</v>
      </c>
      <c r="C132" s="63" t="s">
        <v>8</v>
      </c>
      <c r="D132" s="61" t="s">
        <v>405</v>
      </c>
      <c r="E132" s="63" t="s">
        <v>616</v>
      </c>
      <c r="F132">
        <f t="shared" ref="F132" si="5">46.7-30.2</f>
        <v>16.500000000000004</v>
      </c>
      <c r="G132" s="62" t="s">
        <v>61</v>
      </c>
      <c r="H132" s="61" t="s">
        <v>376</v>
      </c>
      <c r="I132" s="64" t="s">
        <v>621</v>
      </c>
    </row>
    <row r="133" spans="1:10" x14ac:dyDescent="0.25">
      <c r="A133" t="s">
        <v>26</v>
      </c>
      <c r="B133" t="s">
        <v>1</v>
      </c>
      <c r="C133" t="s">
        <v>8</v>
      </c>
      <c r="D133" t="s">
        <v>406</v>
      </c>
      <c r="E133" s="35" t="s">
        <v>407</v>
      </c>
      <c r="F133">
        <v>30.2</v>
      </c>
      <c r="G133" s="41" t="s">
        <v>14</v>
      </c>
      <c r="H133" t="s">
        <v>376</v>
      </c>
      <c r="I133" s="39" t="s">
        <v>621</v>
      </c>
    </row>
    <row r="134" spans="1:10" ht="26.4" x14ac:dyDescent="0.25">
      <c r="A134" t="s">
        <v>26</v>
      </c>
      <c r="B134" t="s">
        <v>1</v>
      </c>
      <c r="C134" t="s">
        <v>7</v>
      </c>
      <c r="D134" t="s">
        <v>408</v>
      </c>
      <c r="E134" s="35" t="s">
        <v>409</v>
      </c>
      <c r="F134" s="35" t="s">
        <v>410</v>
      </c>
      <c r="H134" t="s">
        <v>376</v>
      </c>
      <c r="I134" s="39" t="s">
        <v>621</v>
      </c>
      <c r="J134" s="35" t="s">
        <v>411</v>
      </c>
    </row>
    <row r="135" spans="1:10" ht="26.4" x14ac:dyDescent="0.25">
      <c r="A135" t="s">
        <v>26</v>
      </c>
      <c r="B135" t="s">
        <v>1</v>
      </c>
      <c r="C135" t="s">
        <v>7</v>
      </c>
      <c r="D135" t="s">
        <v>412</v>
      </c>
      <c r="E135" s="35" t="s">
        <v>413</v>
      </c>
      <c r="F135">
        <v>0</v>
      </c>
      <c r="G135" s="41" t="s">
        <v>414</v>
      </c>
      <c r="H135" t="s">
        <v>376</v>
      </c>
      <c r="I135" s="39" t="s">
        <v>623</v>
      </c>
      <c r="J135" s="35" t="s">
        <v>415</v>
      </c>
    </row>
    <row r="136" spans="1:10" x14ac:dyDescent="0.25">
      <c r="A136" t="s">
        <v>26</v>
      </c>
      <c r="B136" t="s">
        <v>1</v>
      </c>
      <c r="C136" t="s">
        <v>7</v>
      </c>
      <c r="D136" t="s">
        <v>416</v>
      </c>
      <c r="E136" s="35" t="s">
        <v>417</v>
      </c>
      <c r="F136">
        <v>5</v>
      </c>
      <c r="G136" s="41" t="s">
        <v>68</v>
      </c>
      <c r="H136" t="s">
        <v>376</v>
      </c>
      <c r="I136" s="39" t="s">
        <v>621</v>
      </c>
      <c r="J136" s="41" t="s">
        <v>418</v>
      </c>
    </row>
    <row r="137" spans="1:10" ht="26.4" x14ac:dyDescent="0.25">
      <c r="A137" t="s">
        <v>26</v>
      </c>
      <c r="B137" t="s">
        <v>1</v>
      </c>
      <c r="C137" t="s">
        <v>7</v>
      </c>
      <c r="D137" s="35" t="s">
        <v>419</v>
      </c>
      <c r="E137" s="35" t="s">
        <v>420</v>
      </c>
      <c r="F137">
        <v>1</v>
      </c>
      <c r="H137" t="s">
        <v>376</v>
      </c>
      <c r="I137" s="39" t="s">
        <v>623</v>
      </c>
      <c r="J137" s="35" t="s">
        <v>421</v>
      </c>
    </row>
    <row r="138" spans="1:10" x14ac:dyDescent="0.25">
      <c r="A138" t="s">
        <v>26</v>
      </c>
      <c r="B138" t="s">
        <v>1</v>
      </c>
      <c r="C138" t="s">
        <v>6</v>
      </c>
      <c r="D138" t="s">
        <v>422</v>
      </c>
      <c r="E138" s="35" t="s">
        <v>423</v>
      </c>
      <c r="F138">
        <v>73200</v>
      </c>
      <c r="G138" s="41" t="s">
        <v>424</v>
      </c>
      <c r="H138" t="s">
        <v>376</v>
      </c>
      <c r="I138" s="39" t="s">
        <v>621</v>
      </c>
    </row>
    <row r="139" spans="1:10" x14ac:dyDescent="0.25">
      <c r="A139" t="s">
        <v>26</v>
      </c>
      <c r="B139" t="s">
        <v>1</v>
      </c>
      <c r="C139" t="s">
        <v>4</v>
      </c>
      <c r="D139" s="35" t="s">
        <v>425</v>
      </c>
      <c r="E139" s="35" t="s">
        <v>426</v>
      </c>
      <c r="F139">
        <v>54200</v>
      </c>
      <c r="G139" s="41" t="s">
        <v>424</v>
      </c>
      <c r="H139" t="s">
        <v>376</v>
      </c>
      <c r="I139" s="39" t="s">
        <v>621</v>
      </c>
    </row>
    <row r="140" spans="1:10" x14ac:dyDescent="0.25">
      <c r="A140" t="s">
        <v>26</v>
      </c>
      <c r="B140" t="s">
        <v>1</v>
      </c>
      <c r="C140" t="s">
        <v>8</v>
      </c>
      <c r="D140" t="s">
        <v>427</v>
      </c>
      <c r="E140" s="35" t="s">
        <v>428</v>
      </c>
      <c r="F140" s="35" t="s">
        <v>429</v>
      </c>
      <c r="H140" t="s">
        <v>376</v>
      </c>
      <c r="I140" s="39" t="s">
        <v>443</v>
      </c>
      <c r="J140" s="35" t="s">
        <v>430</v>
      </c>
    </row>
    <row r="141" spans="1:10" x14ac:dyDescent="0.25">
      <c r="A141" t="s">
        <v>26</v>
      </c>
      <c r="B141" t="s">
        <v>1</v>
      </c>
      <c r="C141" t="s">
        <v>8</v>
      </c>
      <c r="D141" t="s">
        <v>427</v>
      </c>
      <c r="E141" s="35" t="s">
        <v>428</v>
      </c>
      <c r="F141" s="35" t="s">
        <v>628</v>
      </c>
      <c r="H141" t="s">
        <v>376</v>
      </c>
      <c r="I141" s="39" t="s">
        <v>626</v>
      </c>
      <c r="J141" s="35" t="s">
        <v>627</v>
      </c>
    </row>
    <row r="142" spans="1:10" x14ac:dyDescent="0.25">
      <c r="A142" t="s">
        <v>26</v>
      </c>
      <c r="B142" t="s">
        <v>1</v>
      </c>
      <c r="C142" t="s">
        <v>8</v>
      </c>
      <c r="D142" s="35" t="s">
        <v>431</v>
      </c>
      <c r="E142" s="35" t="s">
        <v>432</v>
      </c>
      <c r="F142" s="35">
        <v>76600</v>
      </c>
      <c r="G142" s="41" t="s">
        <v>424</v>
      </c>
      <c r="H142" t="s">
        <v>376</v>
      </c>
      <c r="I142" s="39" t="s">
        <v>621</v>
      </c>
    </row>
    <row r="143" spans="1:10" x14ac:dyDescent="0.25">
      <c r="A143" t="s">
        <v>26</v>
      </c>
      <c r="B143" t="s">
        <v>1</v>
      </c>
      <c r="C143" t="s">
        <v>6</v>
      </c>
      <c r="D143" t="s">
        <v>433</v>
      </c>
      <c r="E143" s="35" t="s">
        <v>434</v>
      </c>
      <c r="F143" t="s">
        <v>435</v>
      </c>
      <c r="H143" t="s">
        <v>376</v>
      </c>
      <c r="I143" s="39" t="s">
        <v>621</v>
      </c>
      <c r="J143" t="s">
        <v>436</v>
      </c>
    </row>
    <row r="144" spans="1:10" x14ac:dyDescent="0.25">
      <c r="A144" t="s">
        <v>26</v>
      </c>
      <c r="B144" t="s">
        <v>1</v>
      </c>
      <c r="C144" t="s">
        <v>6</v>
      </c>
      <c r="D144" t="s">
        <v>437</v>
      </c>
      <c r="E144" s="35" t="s">
        <v>438</v>
      </c>
      <c r="F144">
        <v>50300</v>
      </c>
      <c r="G144" s="41" t="s">
        <v>394</v>
      </c>
      <c r="H144" t="s">
        <v>376</v>
      </c>
      <c r="I144" s="39" t="s">
        <v>621</v>
      </c>
      <c r="J144" s="40" t="s">
        <v>403</v>
      </c>
    </row>
    <row r="145" spans="1:10" x14ac:dyDescent="0.25">
      <c r="A145" t="s">
        <v>26</v>
      </c>
      <c r="B145" t="s">
        <v>1</v>
      </c>
      <c r="C145" t="s">
        <v>8</v>
      </c>
      <c r="D145" s="35" t="s">
        <v>439</v>
      </c>
      <c r="E145" s="35" t="s">
        <v>440</v>
      </c>
      <c r="F145" s="35" t="s">
        <v>441</v>
      </c>
      <c r="H145" t="s">
        <v>376</v>
      </c>
      <c r="I145" s="39" t="s">
        <v>621</v>
      </c>
      <c r="J145" t="s">
        <v>442</v>
      </c>
    </row>
    <row r="146" spans="1:10" x14ac:dyDescent="0.25">
      <c r="A146" t="s">
        <v>26</v>
      </c>
      <c r="B146" t="s">
        <v>1</v>
      </c>
      <c r="C146" t="s">
        <v>8</v>
      </c>
      <c r="D146" s="35" t="s">
        <v>624</v>
      </c>
      <c r="E146" s="35" t="s">
        <v>625</v>
      </c>
      <c r="F146" s="35">
        <v>0</v>
      </c>
      <c r="G146" s="41" t="s">
        <v>135</v>
      </c>
      <c r="H146" t="s">
        <v>376</v>
      </c>
      <c r="I146" s="39" t="s">
        <v>626</v>
      </c>
    </row>
    <row r="147" spans="1:10" x14ac:dyDescent="0.25">
      <c r="A147" t="s">
        <v>26</v>
      </c>
      <c r="B147" t="s">
        <v>1</v>
      </c>
      <c r="C147" t="s">
        <v>7</v>
      </c>
      <c r="D147" s="35" t="s">
        <v>445</v>
      </c>
      <c r="E147" s="35" t="s">
        <v>446</v>
      </c>
      <c r="F147">
        <v>150</v>
      </c>
      <c r="G147" s="41" t="s">
        <v>68</v>
      </c>
      <c r="H147" t="s">
        <v>376</v>
      </c>
      <c r="I147" s="38" t="s">
        <v>457</v>
      </c>
    </row>
    <row r="148" spans="1:10" x14ac:dyDescent="0.25">
      <c r="A148" t="s">
        <v>26</v>
      </c>
      <c r="B148" t="s">
        <v>1</v>
      </c>
      <c r="C148" t="s">
        <v>7</v>
      </c>
      <c r="D148" t="s">
        <v>416</v>
      </c>
      <c r="E148" s="35" t="s">
        <v>458</v>
      </c>
      <c r="F148">
        <v>5</v>
      </c>
      <c r="G148" s="41" t="s">
        <v>68</v>
      </c>
      <c r="H148" t="s">
        <v>376</v>
      </c>
      <c r="I148" s="39" t="s">
        <v>459</v>
      </c>
    </row>
    <row r="149" spans="1:10" x14ac:dyDescent="0.25">
      <c r="A149" t="s">
        <v>26</v>
      </c>
      <c r="B149" t="s">
        <v>1</v>
      </c>
      <c r="C149" t="s">
        <v>7</v>
      </c>
      <c r="D149" s="35" t="s">
        <v>447</v>
      </c>
      <c r="E149" s="35" t="s">
        <v>59</v>
      </c>
      <c r="F149">
        <v>8.44</v>
      </c>
      <c r="H149" t="s">
        <v>376</v>
      </c>
      <c r="I149" s="38" t="s">
        <v>457</v>
      </c>
    </row>
    <row r="150" spans="1:10" x14ac:dyDescent="0.25">
      <c r="A150" t="s">
        <v>26</v>
      </c>
      <c r="B150" t="s">
        <v>1</v>
      </c>
      <c r="C150" t="s">
        <v>7</v>
      </c>
      <c r="D150" s="35" t="s">
        <v>448</v>
      </c>
      <c r="E150" s="35" t="s">
        <v>449</v>
      </c>
      <c r="F150">
        <f>331406/424476</f>
        <v>0.78074143178884081</v>
      </c>
      <c r="H150" t="s">
        <v>376</v>
      </c>
      <c r="I150" s="38" t="s">
        <v>464</v>
      </c>
    </row>
    <row r="151" spans="1:10" x14ac:dyDescent="0.25">
      <c r="A151" t="s">
        <v>26</v>
      </c>
      <c r="B151" t="s">
        <v>1</v>
      </c>
      <c r="C151" t="s">
        <v>7</v>
      </c>
      <c r="D151" s="35" t="s">
        <v>450</v>
      </c>
      <c r="E151" s="35" t="s">
        <v>451</v>
      </c>
      <c r="F151">
        <f>93070/424476</f>
        <v>0.21925856821115916</v>
      </c>
      <c r="H151" t="s">
        <v>376</v>
      </c>
      <c r="I151" s="38" t="s">
        <v>457</v>
      </c>
    </row>
    <row r="152" spans="1:10" x14ac:dyDescent="0.25">
      <c r="A152" t="s">
        <v>26</v>
      </c>
      <c r="B152" t="s">
        <v>1</v>
      </c>
      <c r="C152" t="s">
        <v>7</v>
      </c>
      <c r="D152" s="35" t="s">
        <v>463</v>
      </c>
      <c r="E152" s="35" t="s">
        <v>462</v>
      </c>
      <c r="F152">
        <f>46535/424476</f>
        <v>0.10962928410557958</v>
      </c>
      <c r="H152" t="s">
        <v>376</v>
      </c>
      <c r="I152" s="39" t="s">
        <v>459</v>
      </c>
    </row>
    <row r="153" spans="1:10" ht="26.4" x14ac:dyDescent="0.25">
      <c r="A153" t="s">
        <v>26</v>
      </c>
      <c r="B153" t="s">
        <v>1</v>
      </c>
      <c r="C153" t="s">
        <v>7</v>
      </c>
      <c r="D153" t="s">
        <v>408</v>
      </c>
      <c r="E153" s="35" t="s">
        <v>409</v>
      </c>
      <c r="F153" s="35" t="s">
        <v>410</v>
      </c>
      <c r="H153" t="s">
        <v>376</v>
      </c>
      <c r="I153" s="38" t="s">
        <v>547</v>
      </c>
      <c r="J153" s="35" t="s">
        <v>411</v>
      </c>
    </row>
    <row r="154" spans="1:10" ht="26.4" x14ac:dyDescent="0.25">
      <c r="A154" t="s">
        <v>26</v>
      </c>
      <c r="B154" t="s">
        <v>1</v>
      </c>
      <c r="C154" t="s">
        <v>8</v>
      </c>
      <c r="D154" t="s">
        <v>427</v>
      </c>
      <c r="E154" s="35" t="s">
        <v>428</v>
      </c>
      <c r="F154" s="35" t="s">
        <v>429</v>
      </c>
      <c r="H154" t="s">
        <v>376</v>
      </c>
      <c r="I154" s="38" t="s">
        <v>547</v>
      </c>
      <c r="J154" s="35" t="s">
        <v>455</v>
      </c>
    </row>
    <row r="155" spans="1:10" ht="26.4" x14ac:dyDescent="0.25">
      <c r="A155" t="s">
        <v>26</v>
      </c>
      <c r="B155" t="s">
        <v>1</v>
      </c>
      <c r="C155" t="s">
        <v>8</v>
      </c>
      <c r="D155" s="35" t="s">
        <v>439</v>
      </c>
      <c r="E155" s="35" t="s">
        <v>440</v>
      </c>
      <c r="F155" s="35" t="s">
        <v>441</v>
      </c>
      <c r="H155" t="s">
        <v>376</v>
      </c>
      <c r="I155" s="38" t="s">
        <v>547</v>
      </c>
      <c r="J155" t="s">
        <v>454</v>
      </c>
    </row>
    <row r="156" spans="1:10" ht="26.4" x14ac:dyDescent="0.25">
      <c r="A156" t="s">
        <v>26</v>
      </c>
      <c r="B156" t="s">
        <v>1</v>
      </c>
      <c r="C156" t="s">
        <v>8</v>
      </c>
      <c r="D156" t="s">
        <v>456</v>
      </c>
      <c r="E156" s="35" t="s">
        <v>407</v>
      </c>
      <c r="F156">
        <v>30.2</v>
      </c>
      <c r="G156" s="41" t="s">
        <v>14</v>
      </c>
      <c r="H156" t="s">
        <v>376</v>
      </c>
      <c r="I156" s="38" t="s">
        <v>547</v>
      </c>
    </row>
    <row r="157" spans="1:10" x14ac:dyDescent="0.25">
      <c r="A157" t="s">
        <v>26</v>
      </c>
      <c r="B157" t="s">
        <v>1</v>
      </c>
      <c r="C157" t="s">
        <v>8</v>
      </c>
      <c r="D157" t="s">
        <v>453</v>
      </c>
      <c r="E157" s="35" t="s">
        <v>452</v>
      </c>
      <c r="F157">
        <f>81.4-30.2</f>
        <v>51.2</v>
      </c>
      <c r="G157" s="41" t="s">
        <v>61</v>
      </c>
      <c r="H157" t="s">
        <v>376</v>
      </c>
      <c r="I157" s="38" t="s">
        <v>464</v>
      </c>
    </row>
    <row r="158" spans="1:10" x14ac:dyDescent="0.25">
      <c r="A158" t="s">
        <v>26</v>
      </c>
      <c r="B158" t="s">
        <v>1</v>
      </c>
      <c r="C158" t="s">
        <v>8</v>
      </c>
      <c r="D158" t="s">
        <v>460</v>
      </c>
      <c r="E158" s="35" t="s">
        <v>461</v>
      </c>
      <c r="F158">
        <f>70-51.2</f>
        <v>18.799999999999997</v>
      </c>
      <c r="G158" s="41" t="s">
        <v>61</v>
      </c>
      <c r="H158" t="s">
        <v>376</v>
      </c>
      <c r="I158" s="39" t="s">
        <v>459</v>
      </c>
    </row>
    <row r="159" spans="1:10" ht="26.4" x14ac:dyDescent="0.25">
      <c r="A159" s="35" t="s">
        <v>26</v>
      </c>
      <c r="B159" t="s">
        <v>1</v>
      </c>
      <c r="C159" t="s">
        <v>377</v>
      </c>
      <c r="D159" s="35" t="s">
        <v>473</v>
      </c>
      <c r="E159" s="35" t="s">
        <v>474</v>
      </c>
      <c r="F159">
        <v>9</v>
      </c>
      <c r="H159" t="s">
        <v>376</v>
      </c>
      <c r="I159" s="39" t="s">
        <v>548</v>
      </c>
    </row>
    <row r="160" spans="1:10" ht="26.4" x14ac:dyDescent="0.25">
      <c r="A160" s="35" t="s">
        <v>26</v>
      </c>
      <c r="B160" t="s">
        <v>1</v>
      </c>
      <c r="C160" t="s">
        <v>377</v>
      </c>
      <c r="D160" s="35" t="s">
        <v>475</v>
      </c>
      <c r="E160" s="35" t="s">
        <v>477</v>
      </c>
      <c r="F160">
        <v>1</v>
      </c>
      <c r="H160" t="s">
        <v>376</v>
      </c>
      <c r="I160" s="39" t="s">
        <v>548</v>
      </c>
    </row>
    <row r="161" spans="1:10" ht="26.4" x14ac:dyDescent="0.25">
      <c r="A161" s="35" t="s">
        <v>26</v>
      </c>
      <c r="B161" t="s">
        <v>1</v>
      </c>
      <c r="C161" t="s">
        <v>377</v>
      </c>
      <c r="D161" s="35" t="s">
        <v>476</v>
      </c>
      <c r="E161" s="35" t="s">
        <v>478</v>
      </c>
      <c r="F161">
        <v>17</v>
      </c>
      <c r="H161" t="s">
        <v>376</v>
      </c>
      <c r="I161" s="39" t="s">
        <v>548</v>
      </c>
    </row>
    <row r="162" spans="1:10" x14ac:dyDescent="0.25">
      <c r="A162" t="s">
        <v>26</v>
      </c>
      <c r="B162" t="s">
        <v>1</v>
      </c>
      <c r="C162" t="s">
        <v>7</v>
      </c>
      <c r="D162" t="s">
        <v>469</v>
      </c>
      <c r="E162" t="s">
        <v>470</v>
      </c>
      <c r="F162">
        <f>392161/50300</f>
        <v>7.7964413518886682</v>
      </c>
      <c r="H162" t="s">
        <v>376</v>
      </c>
      <c r="I162" s="39" t="s">
        <v>523</v>
      </c>
    </row>
    <row r="163" spans="1:10" x14ac:dyDescent="0.25">
      <c r="A163" t="s">
        <v>26</v>
      </c>
      <c r="B163" t="s">
        <v>1</v>
      </c>
      <c r="C163" t="s">
        <v>7</v>
      </c>
      <c r="D163" t="s">
        <v>471</v>
      </c>
      <c r="E163" t="s">
        <v>472</v>
      </c>
      <c r="F163">
        <f>392161/50300</f>
        <v>7.7964413518886682</v>
      </c>
      <c r="H163" t="s">
        <v>376</v>
      </c>
      <c r="I163" s="39" t="s">
        <v>523</v>
      </c>
      <c r="J163" s="40" t="s">
        <v>403</v>
      </c>
    </row>
    <row r="164" spans="1:10" x14ac:dyDescent="0.25">
      <c r="A164" t="s">
        <v>26</v>
      </c>
      <c r="B164" t="s">
        <v>1</v>
      </c>
      <c r="C164" t="s">
        <v>7</v>
      </c>
      <c r="D164" t="s">
        <v>479</v>
      </c>
      <c r="E164" t="s">
        <v>480</v>
      </c>
      <c r="F164">
        <v>8.44</v>
      </c>
      <c r="H164" t="s">
        <v>376</v>
      </c>
      <c r="I164" s="39" t="s">
        <v>523</v>
      </c>
      <c r="J164" s="40" t="s">
        <v>403</v>
      </c>
    </row>
    <row r="165" spans="1:10" x14ac:dyDescent="0.25">
      <c r="A165" t="s">
        <v>26</v>
      </c>
      <c r="B165" t="s">
        <v>1</v>
      </c>
      <c r="C165" t="s">
        <v>7</v>
      </c>
      <c r="D165" t="s">
        <v>485</v>
      </c>
      <c r="E165" t="s">
        <v>486</v>
      </c>
      <c r="F165">
        <v>8.44</v>
      </c>
      <c r="H165" t="s">
        <v>376</v>
      </c>
      <c r="I165" s="39" t="s">
        <v>523</v>
      </c>
      <c r="J165" s="40"/>
    </row>
    <row r="166" spans="1:10" ht="26.4" x14ac:dyDescent="0.25">
      <c r="A166" t="s">
        <v>26</v>
      </c>
      <c r="B166" t="s">
        <v>373</v>
      </c>
      <c r="C166" t="s">
        <v>8</v>
      </c>
      <c r="D166" t="s">
        <v>481</v>
      </c>
      <c r="E166" t="s">
        <v>483</v>
      </c>
      <c r="F166">
        <v>0.8</v>
      </c>
      <c r="G166" s="41" t="s">
        <v>49</v>
      </c>
      <c r="H166" t="s">
        <v>376</v>
      </c>
      <c r="I166" s="39" t="s">
        <v>548</v>
      </c>
    </row>
    <row r="167" spans="1:10" x14ac:dyDescent="0.25">
      <c r="A167" t="s">
        <v>26</v>
      </c>
      <c r="B167" t="s">
        <v>373</v>
      </c>
      <c r="C167" t="s">
        <v>7</v>
      </c>
      <c r="D167" t="s">
        <v>482</v>
      </c>
      <c r="E167" t="s">
        <v>484</v>
      </c>
      <c r="F167">
        <v>1.6</v>
      </c>
      <c r="G167" s="41" t="s">
        <v>49</v>
      </c>
      <c r="H167" t="s">
        <v>376</v>
      </c>
      <c r="I167" s="38" t="s">
        <v>521</v>
      </c>
    </row>
    <row r="168" spans="1:10" x14ac:dyDescent="0.25">
      <c r="A168" t="s">
        <v>26</v>
      </c>
      <c r="B168" t="s">
        <v>373</v>
      </c>
      <c r="C168" t="s">
        <v>7</v>
      </c>
      <c r="D168" t="s">
        <v>532</v>
      </c>
      <c r="E168" t="s">
        <v>531</v>
      </c>
      <c r="F168">
        <v>1.6</v>
      </c>
      <c r="G168" s="41" t="s">
        <v>49</v>
      </c>
      <c r="H168" t="s">
        <v>376</v>
      </c>
      <c r="I168" s="38" t="s">
        <v>521</v>
      </c>
    </row>
    <row r="169" spans="1:10" x14ac:dyDescent="0.25">
      <c r="A169" s="35" t="s">
        <v>26</v>
      </c>
      <c r="B169" t="s">
        <v>1</v>
      </c>
      <c r="C169" t="s">
        <v>377</v>
      </c>
      <c r="D169" t="s">
        <v>504</v>
      </c>
      <c r="E169" t="s">
        <v>487</v>
      </c>
      <c r="F169" s="43">
        <v>153.96007178390022</v>
      </c>
      <c r="G169" s="41" t="s">
        <v>524</v>
      </c>
      <c r="H169" t="s">
        <v>376</v>
      </c>
      <c r="I169" s="38" t="s">
        <v>521</v>
      </c>
    </row>
    <row r="170" spans="1:10" x14ac:dyDescent="0.25">
      <c r="A170" s="35" t="s">
        <v>26</v>
      </c>
      <c r="B170" t="s">
        <v>1</v>
      </c>
      <c r="C170" t="s">
        <v>377</v>
      </c>
      <c r="D170" t="s">
        <v>505</v>
      </c>
      <c r="E170" t="s">
        <v>488</v>
      </c>
      <c r="F170" s="44">
        <v>155.72940956040063</v>
      </c>
      <c r="G170" s="41" t="s">
        <v>524</v>
      </c>
      <c r="H170" t="s">
        <v>376</v>
      </c>
      <c r="I170" s="38" t="s">
        <v>521</v>
      </c>
    </row>
    <row r="171" spans="1:10" x14ac:dyDescent="0.25">
      <c r="A171" s="35" t="s">
        <v>26</v>
      </c>
      <c r="B171" t="s">
        <v>1</v>
      </c>
      <c r="C171" t="s">
        <v>377</v>
      </c>
      <c r="D171" t="s">
        <v>506</v>
      </c>
      <c r="E171" t="s">
        <v>489</v>
      </c>
      <c r="F171" s="43">
        <v>157.54053856957231</v>
      </c>
      <c r="G171" s="41" t="s">
        <v>524</v>
      </c>
      <c r="H171" t="s">
        <v>376</v>
      </c>
      <c r="I171" s="38" t="s">
        <v>521</v>
      </c>
    </row>
    <row r="172" spans="1:10" x14ac:dyDescent="0.25">
      <c r="A172" s="35" t="s">
        <v>26</v>
      </c>
      <c r="B172" t="s">
        <v>1</v>
      </c>
      <c r="C172" t="s">
        <v>377</v>
      </c>
      <c r="D172" t="s">
        <v>507</v>
      </c>
      <c r="E172" t="s">
        <v>490</v>
      </c>
      <c r="F172" s="45">
        <v>159.3936232981068</v>
      </c>
      <c r="G172" s="41" t="s">
        <v>524</v>
      </c>
      <c r="H172" t="s">
        <v>376</v>
      </c>
      <c r="I172" s="38" t="s">
        <v>521</v>
      </c>
    </row>
    <row r="173" spans="1:10" x14ac:dyDescent="0.25">
      <c r="A173" s="35" t="s">
        <v>26</v>
      </c>
      <c r="B173" t="s">
        <v>1</v>
      </c>
      <c r="C173" t="s">
        <v>377</v>
      </c>
      <c r="D173" t="s">
        <v>508</v>
      </c>
      <c r="E173" t="s">
        <v>491</v>
      </c>
      <c r="F173" s="43">
        <v>161.29150377360972</v>
      </c>
      <c r="G173" s="41" t="s">
        <v>524</v>
      </c>
      <c r="H173" t="s">
        <v>376</v>
      </c>
      <c r="I173" s="38" t="s">
        <v>521</v>
      </c>
    </row>
    <row r="174" spans="1:10" x14ac:dyDescent="0.25">
      <c r="A174" s="35" t="s">
        <v>26</v>
      </c>
      <c r="B174" t="s">
        <v>1</v>
      </c>
      <c r="C174" t="s">
        <v>377</v>
      </c>
      <c r="D174" t="s">
        <v>509</v>
      </c>
      <c r="E174" t="s">
        <v>492</v>
      </c>
      <c r="F174" s="43">
        <v>163.23442527144383</v>
      </c>
      <c r="G174" s="41" t="s">
        <v>524</v>
      </c>
      <c r="H174" t="s">
        <v>376</v>
      </c>
      <c r="I174" s="38" t="s">
        <v>521</v>
      </c>
    </row>
    <row r="175" spans="1:10" x14ac:dyDescent="0.25">
      <c r="A175" s="35" t="s">
        <v>26</v>
      </c>
      <c r="B175" t="s">
        <v>1</v>
      </c>
      <c r="C175" t="s">
        <v>377</v>
      </c>
      <c r="D175" t="s">
        <v>510</v>
      </c>
      <c r="E175" t="s">
        <v>493</v>
      </c>
      <c r="F175" s="43">
        <v>165.22544289003926</v>
      </c>
      <c r="G175" s="41" t="s">
        <v>524</v>
      </c>
      <c r="H175" t="s">
        <v>376</v>
      </c>
      <c r="I175" s="38" t="s">
        <v>521</v>
      </c>
    </row>
    <row r="176" spans="1:10" x14ac:dyDescent="0.25">
      <c r="A176" s="35" t="s">
        <v>26</v>
      </c>
      <c r="B176" t="s">
        <v>1</v>
      </c>
      <c r="C176" t="s">
        <v>377</v>
      </c>
      <c r="D176" t="s">
        <v>511</v>
      </c>
      <c r="E176" t="s">
        <v>494</v>
      </c>
      <c r="F176" s="43">
        <v>167.26489606174937</v>
      </c>
      <c r="G176" s="41" t="s">
        <v>524</v>
      </c>
      <c r="H176" t="s">
        <v>376</v>
      </c>
      <c r="I176" s="38" t="s">
        <v>521</v>
      </c>
    </row>
    <row r="177" spans="1:10" x14ac:dyDescent="0.25">
      <c r="A177" s="35" t="s">
        <v>26</v>
      </c>
      <c r="B177" t="s">
        <v>1</v>
      </c>
      <c r="C177" t="s">
        <v>377</v>
      </c>
      <c r="D177" t="s">
        <v>512</v>
      </c>
      <c r="E177" t="s">
        <v>495</v>
      </c>
      <c r="F177" s="43">
        <v>169.35607896229021</v>
      </c>
      <c r="G177" s="41" t="s">
        <v>524</v>
      </c>
      <c r="H177" t="s">
        <v>376</v>
      </c>
      <c r="I177" s="38" t="s">
        <v>521</v>
      </c>
    </row>
    <row r="178" spans="1:10" x14ac:dyDescent="0.25">
      <c r="A178" s="35" t="s">
        <v>26</v>
      </c>
      <c r="B178" t="s">
        <v>1</v>
      </c>
      <c r="C178" t="s">
        <v>377</v>
      </c>
      <c r="D178" t="s">
        <v>513</v>
      </c>
      <c r="E178" t="s">
        <v>496</v>
      </c>
      <c r="F178" s="43">
        <v>169.35607896229021</v>
      </c>
      <c r="G178" s="41" t="s">
        <v>524</v>
      </c>
      <c r="H178" t="s">
        <v>376</v>
      </c>
      <c r="I178" s="38" t="s">
        <v>521</v>
      </c>
    </row>
    <row r="179" spans="1:10" x14ac:dyDescent="0.25">
      <c r="A179" s="35" t="s">
        <v>26</v>
      </c>
      <c r="B179" t="s">
        <v>1</v>
      </c>
      <c r="C179" t="s">
        <v>377</v>
      </c>
      <c r="D179" t="s">
        <v>514</v>
      </c>
      <c r="E179" t="s">
        <v>497</v>
      </c>
      <c r="F179" s="43">
        <v>169.35607896229021</v>
      </c>
      <c r="G179" s="41" t="s">
        <v>524</v>
      </c>
      <c r="H179" t="s">
        <v>376</v>
      </c>
      <c r="I179" s="38" t="s">
        <v>521</v>
      </c>
    </row>
    <row r="180" spans="1:10" x14ac:dyDescent="0.25">
      <c r="A180" s="35" t="s">
        <v>26</v>
      </c>
      <c r="B180" t="s">
        <v>1</v>
      </c>
      <c r="C180" t="s">
        <v>377</v>
      </c>
      <c r="D180" t="s">
        <v>515</v>
      </c>
      <c r="E180" t="s">
        <v>498</v>
      </c>
      <c r="F180" s="43">
        <v>169.35607896229021</v>
      </c>
      <c r="G180" s="41" t="s">
        <v>524</v>
      </c>
      <c r="H180" t="s">
        <v>376</v>
      </c>
      <c r="I180" s="38" t="s">
        <v>521</v>
      </c>
    </row>
    <row r="181" spans="1:10" x14ac:dyDescent="0.25">
      <c r="A181" s="35" t="s">
        <v>26</v>
      </c>
      <c r="B181" t="s">
        <v>1</v>
      </c>
      <c r="C181" t="s">
        <v>377</v>
      </c>
      <c r="D181" t="s">
        <v>516</v>
      </c>
      <c r="E181" t="s">
        <v>499</v>
      </c>
      <c r="F181" s="43">
        <v>169.35607896229021</v>
      </c>
      <c r="G181" s="41" t="s">
        <v>524</v>
      </c>
      <c r="H181" t="s">
        <v>376</v>
      </c>
      <c r="I181" s="38" t="s">
        <v>521</v>
      </c>
    </row>
    <row r="182" spans="1:10" x14ac:dyDescent="0.25">
      <c r="A182" s="35" t="s">
        <v>26</v>
      </c>
      <c r="B182" t="s">
        <v>1</v>
      </c>
      <c r="C182" t="s">
        <v>377</v>
      </c>
      <c r="D182" t="s">
        <v>517</v>
      </c>
      <c r="E182" t="s">
        <v>500</v>
      </c>
      <c r="F182" s="43">
        <v>169.35607896229021</v>
      </c>
      <c r="G182" s="41" t="s">
        <v>524</v>
      </c>
      <c r="H182" t="s">
        <v>376</v>
      </c>
      <c r="I182" s="38" t="s">
        <v>521</v>
      </c>
    </row>
    <row r="183" spans="1:10" x14ac:dyDescent="0.25">
      <c r="A183" s="35" t="s">
        <v>26</v>
      </c>
      <c r="B183" t="s">
        <v>1</v>
      </c>
      <c r="C183" t="s">
        <v>377</v>
      </c>
      <c r="D183" t="s">
        <v>518</v>
      </c>
      <c r="E183" t="s">
        <v>501</v>
      </c>
      <c r="F183" s="43">
        <v>169.35607896229021</v>
      </c>
      <c r="G183" s="41" t="s">
        <v>524</v>
      </c>
      <c r="H183" t="s">
        <v>376</v>
      </c>
      <c r="I183" s="38" t="s">
        <v>521</v>
      </c>
    </row>
    <row r="184" spans="1:10" x14ac:dyDescent="0.25">
      <c r="A184" s="35" t="s">
        <v>26</v>
      </c>
      <c r="B184" t="s">
        <v>1</v>
      </c>
      <c r="C184" t="s">
        <v>377</v>
      </c>
      <c r="D184" t="s">
        <v>519</v>
      </c>
      <c r="E184" t="s">
        <v>502</v>
      </c>
      <c r="F184" s="43">
        <v>169.35607896229021</v>
      </c>
      <c r="G184" s="41" t="s">
        <v>524</v>
      </c>
      <c r="H184" t="s">
        <v>376</v>
      </c>
      <c r="I184" s="38" t="s">
        <v>521</v>
      </c>
    </row>
    <row r="185" spans="1:10" x14ac:dyDescent="0.25">
      <c r="A185" s="35" t="s">
        <v>26</v>
      </c>
      <c r="B185" t="s">
        <v>1</v>
      </c>
      <c r="C185" t="s">
        <v>377</v>
      </c>
      <c r="D185" t="s">
        <v>520</v>
      </c>
      <c r="E185" t="s">
        <v>503</v>
      </c>
      <c r="F185" s="43">
        <v>169.35607896229021</v>
      </c>
      <c r="G185" s="41" t="s">
        <v>524</v>
      </c>
      <c r="H185" t="s">
        <v>376</v>
      </c>
      <c r="I185" s="38" t="s">
        <v>521</v>
      </c>
    </row>
    <row r="186" spans="1:10" x14ac:dyDescent="0.25">
      <c r="A186" t="s">
        <v>26</v>
      </c>
      <c r="B186" t="s">
        <v>1</v>
      </c>
      <c r="C186" t="s">
        <v>7</v>
      </c>
      <c r="D186" t="s">
        <v>522</v>
      </c>
      <c r="E186" t="s">
        <v>525</v>
      </c>
      <c r="F186" s="43">
        <v>27.75</v>
      </c>
      <c r="G186" s="41" t="s">
        <v>61</v>
      </c>
      <c r="H186" t="s">
        <v>376</v>
      </c>
      <c r="I186" s="38" t="s">
        <v>521</v>
      </c>
      <c r="J186" s="43" t="s">
        <v>534</v>
      </c>
    </row>
    <row r="187" spans="1:10" x14ac:dyDescent="0.25">
      <c r="A187" t="s">
        <v>26</v>
      </c>
      <c r="B187" t="s">
        <v>1</v>
      </c>
      <c r="C187" t="s">
        <v>7</v>
      </c>
      <c r="D187" t="s">
        <v>529</v>
      </c>
      <c r="E187" t="s">
        <v>530</v>
      </c>
      <c r="F187" s="43">
        <v>25.4</v>
      </c>
      <c r="G187" s="41" t="s">
        <v>61</v>
      </c>
      <c r="H187" t="s">
        <v>376</v>
      </c>
      <c r="I187" s="38" t="s">
        <v>521</v>
      </c>
      <c r="J187" s="43" t="s">
        <v>535</v>
      </c>
    </row>
    <row r="188" spans="1:10" x14ac:dyDescent="0.25">
      <c r="A188" t="s">
        <v>26</v>
      </c>
      <c r="B188" t="s">
        <v>1</v>
      </c>
      <c r="C188" t="s">
        <v>7</v>
      </c>
      <c r="D188" t="s">
        <v>526</v>
      </c>
      <c r="E188" t="s">
        <v>527</v>
      </c>
      <c r="F188" s="43" t="s">
        <v>376</v>
      </c>
      <c r="H188" t="s">
        <v>376</v>
      </c>
      <c r="I188" s="38" t="s">
        <v>521</v>
      </c>
      <c r="J188" t="s">
        <v>528</v>
      </c>
    </row>
    <row r="189" spans="1:10" x14ac:dyDescent="0.25">
      <c r="A189" t="s">
        <v>26</v>
      </c>
      <c r="B189" t="s">
        <v>1</v>
      </c>
      <c r="C189" t="s">
        <v>8</v>
      </c>
      <c r="D189" t="s">
        <v>543</v>
      </c>
      <c r="E189" t="s">
        <v>540</v>
      </c>
      <c r="F189" s="47">
        <v>0.1351</v>
      </c>
      <c r="H189" t="s">
        <v>376</v>
      </c>
      <c r="I189" s="38" t="s">
        <v>539</v>
      </c>
    </row>
    <row r="190" spans="1:10" x14ac:dyDescent="0.25">
      <c r="A190" t="s">
        <v>26</v>
      </c>
      <c r="B190" t="s">
        <v>1</v>
      </c>
      <c r="C190" t="s">
        <v>8</v>
      </c>
      <c r="D190" t="s">
        <v>544</v>
      </c>
      <c r="E190" t="s">
        <v>541</v>
      </c>
      <c r="F190" s="48">
        <v>458.6</v>
      </c>
      <c r="H190" t="s">
        <v>376</v>
      </c>
      <c r="I190" s="38" t="s">
        <v>539</v>
      </c>
    </row>
    <row r="191" spans="1:10" x14ac:dyDescent="0.25">
      <c r="A191" t="s">
        <v>26</v>
      </c>
      <c r="B191" t="s">
        <v>1</v>
      </c>
      <c r="C191" t="s">
        <v>8</v>
      </c>
      <c r="D191" t="s">
        <v>545</v>
      </c>
      <c r="E191" t="s">
        <v>542</v>
      </c>
      <c r="F191" s="48">
        <v>184.1</v>
      </c>
      <c r="H191" t="s">
        <v>376</v>
      </c>
      <c r="I191" s="38" t="s">
        <v>539</v>
      </c>
    </row>
    <row r="192" spans="1:10" x14ac:dyDescent="0.25">
      <c r="A192" t="s">
        <v>26</v>
      </c>
      <c r="B192" t="s">
        <v>1</v>
      </c>
      <c r="C192" t="s">
        <v>7</v>
      </c>
      <c r="D192" s="35" t="s">
        <v>549</v>
      </c>
      <c r="E192" s="35" t="s">
        <v>550</v>
      </c>
      <c r="F192" s="43">
        <v>308267</v>
      </c>
      <c r="G192" s="41" t="s">
        <v>394</v>
      </c>
      <c r="H192" t="s">
        <v>376</v>
      </c>
      <c r="I192" s="38" t="s">
        <v>539</v>
      </c>
    </row>
    <row r="193" spans="1:9" x14ac:dyDescent="0.25">
      <c r="A193" t="s">
        <v>26</v>
      </c>
      <c r="B193" t="s">
        <v>1</v>
      </c>
      <c r="C193" t="s">
        <v>7</v>
      </c>
      <c r="D193" s="35" t="s">
        <v>551</v>
      </c>
      <c r="E193" s="35" t="s">
        <v>555</v>
      </c>
      <c r="F193" s="43">
        <v>331372</v>
      </c>
      <c r="G193" s="41" t="s">
        <v>394</v>
      </c>
      <c r="H193" t="s">
        <v>376</v>
      </c>
      <c r="I193" s="38" t="s">
        <v>539</v>
      </c>
    </row>
    <row r="194" spans="1:9" x14ac:dyDescent="0.25">
      <c r="A194" t="s">
        <v>26</v>
      </c>
      <c r="B194" t="s">
        <v>1</v>
      </c>
      <c r="C194" t="s">
        <v>7</v>
      </c>
      <c r="D194" s="35" t="s">
        <v>552</v>
      </c>
      <c r="E194" s="35" t="s">
        <v>556</v>
      </c>
      <c r="F194" s="43">
        <v>327330</v>
      </c>
      <c r="G194" s="41" t="s">
        <v>394</v>
      </c>
      <c r="H194" t="s">
        <v>376</v>
      </c>
      <c r="I194" s="38" t="s">
        <v>539</v>
      </c>
    </row>
    <row r="195" spans="1:9" x14ac:dyDescent="0.25">
      <c r="A195" t="s">
        <v>26</v>
      </c>
      <c r="B195" t="s">
        <v>1</v>
      </c>
      <c r="C195" t="s">
        <v>7</v>
      </c>
      <c r="D195" s="35" t="s">
        <v>553</v>
      </c>
      <c r="E195" s="35" t="s">
        <v>557</v>
      </c>
      <c r="F195" s="43">
        <v>308267</v>
      </c>
      <c r="G195" s="41" t="s">
        <v>394</v>
      </c>
      <c r="H195" t="s">
        <v>376</v>
      </c>
      <c r="I195" s="38" t="s">
        <v>539</v>
      </c>
    </row>
    <row r="196" spans="1:9" x14ac:dyDescent="0.25">
      <c r="A196" t="s">
        <v>26</v>
      </c>
      <c r="B196" t="s">
        <v>1</v>
      </c>
      <c r="C196" t="s">
        <v>7</v>
      </c>
      <c r="D196" s="35" t="s">
        <v>554</v>
      </c>
      <c r="E196" s="35" t="s">
        <v>558</v>
      </c>
      <c r="F196" s="43">
        <v>331372</v>
      </c>
      <c r="G196" s="41" t="s">
        <v>394</v>
      </c>
      <c r="H196" t="s">
        <v>376</v>
      </c>
      <c r="I196" s="38" t="s">
        <v>539</v>
      </c>
    </row>
    <row r="197" spans="1:9" x14ac:dyDescent="0.25">
      <c r="A197" t="s">
        <v>26</v>
      </c>
      <c r="B197" t="s">
        <v>1</v>
      </c>
      <c r="C197" t="s">
        <v>7</v>
      </c>
      <c r="D197" s="35" t="s">
        <v>559</v>
      </c>
      <c r="E197" s="35" t="s">
        <v>564</v>
      </c>
      <c r="F197" s="43">
        <v>83894</v>
      </c>
      <c r="G197" s="41" t="s">
        <v>394</v>
      </c>
      <c r="H197" t="s">
        <v>376</v>
      </c>
      <c r="I197" s="38" t="s">
        <v>539</v>
      </c>
    </row>
    <row r="198" spans="1:9" x14ac:dyDescent="0.25">
      <c r="A198" t="s">
        <v>26</v>
      </c>
      <c r="B198" t="s">
        <v>1</v>
      </c>
      <c r="C198" t="s">
        <v>7</v>
      </c>
      <c r="D198" s="35" t="s">
        <v>560</v>
      </c>
      <c r="E198" s="35" t="s">
        <v>565</v>
      </c>
      <c r="F198" s="43">
        <v>93128</v>
      </c>
      <c r="G198" s="41" t="s">
        <v>394</v>
      </c>
      <c r="H198" t="s">
        <v>376</v>
      </c>
      <c r="I198" s="38" t="s">
        <v>539</v>
      </c>
    </row>
    <row r="199" spans="1:9" x14ac:dyDescent="0.25">
      <c r="A199" t="s">
        <v>26</v>
      </c>
      <c r="B199" t="s">
        <v>1</v>
      </c>
      <c r="C199" t="s">
        <v>7</v>
      </c>
      <c r="D199" s="35" t="s">
        <v>561</v>
      </c>
      <c r="E199" s="35" t="s">
        <v>566</v>
      </c>
      <c r="F199" s="43">
        <v>93128</v>
      </c>
      <c r="G199" s="41" t="s">
        <v>394</v>
      </c>
      <c r="H199" t="s">
        <v>376</v>
      </c>
      <c r="I199" s="38" t="s">
        <v>539</v>
      </c>
    </row>
    <row r="200" spans="1:9" x14ac:dyDescent="0.25">
      <c r="A200" t="s">
        <v>26</v>
      </c>
      <c r="B200" t="s">
        <v>1</v>
      </c>
      <c r="C200" t="s">
        <v>7</v>
      </c>
      <c r="D200" s="35" t="s">
        <v>562</v>
      </c>
      <c r="E200" s="35" t="s">
        <v>567</v>
      </c>
      <c r="F200" s="43">
        <v>83894</v>
      </c>
      <c r="G200" s="41" t="s">
        <v>394</v>
      </c>
      <c r="H200" t="s">
        <v>376</v>
      </c>
      <c r="I200" s="38" t="s">
        <v>539</v>
      </c>
    </row>
    <row r="201" spans="1:9" x14ac:dyDescent="0.25">
      <c r="A201" t="s">
        <v>26</v>
      </c>
      <c r="B201" t="s">
        <v>1</v>
      </c>
      <c r="C201" t="s">
        <v>7</v>
      </c>
      <c r="D201" s="35" t="s">
        <v>563</v>
      </c>
      <c r="E201" s="35" t="s">
        <v>568</v>
      </c>
      <c r="F201" s="43">
        <v>93128</v>
      </c>
      <c r="G201" s="41" t="s">
        <v>394</v>
      </c>
      <c r="H201" t="s">
        <v>376</v>
      </c>
      <c r="I201" s="38" t="s">
        <v>539</v>
      </c>
    </row>
    <row r="202" spans="1:9" x14ac:dyDescent="0.25">
      <c r="A202" t="s">
        <v>26</v>
      </c>
      <c r="B202" t="s">
        <v>1</v>
      </c>
      <c r="C202" t="s">
        <v>6</v>
      </c>
      <c r="D202" s="35" t="s">
        <v>569</v>
      </c>
      <c r="E202" s="35" t="s">
        <v>570</v>
      </c>
      <c r="F202" s="43">
        <v>50300</v>
      </c>
      <c r="G202" s="41" t="s">
        <v>394</v>
      </c>
      <c r="H202" t="s">
        <v>376</v>
      </c>
      <c r="I202" s="38" t="s">
        <v>539</v>
      </c>
    </row>
    <row r="203" spans="1:9" x14ac:dyDescent="0.25">
      <c r="F203" s="43"/>
    </row>
    <row r="204" spans="1:9" x14ac:dyDescent="0.25">
      <c r="F204" s="43"/>
    </row>
    <row r="205" spans="1:9" x14ac:dyDescent="0.25">
      <c r="F205" s="43"/>
    </row>
    <row r="206" spans="1:9" x14ac:dyDescent="0.25">
      <c r="F206" s="43"/>
    </row>
    <row r="207" spans="1:9" x14ac:dyDescent="0.25">
      <c r="F207" s="43"/>
    </row>
    <row r="208" spans="1:9" x14ac:dyDescent="0.25">
      <c r="F208" s="43"/>
    </row>
    <row r="209" spans="6:6" x14ac:dyDescent="0.25">
      <c r="F209" s="43"/>
    </row>
    <row r="210" spans="6:6" x14ac:dyDescent="0.25">
      <c r="F210" s="43"/>
    </row>
  </sheetData>
  <autoFilter ref="A1:J202" xr:uid="{00000000-0001-0000-0000-000000000000}"/>
  <customSheetViews>
    <customSheetView guid="{5BA1CD7D-F5A8-491F-BE80-49D284764C09}" filter="1" showAutoFilter="1">
      <pageMargins left="0.7" right="0.7" top="0.75" bottom="0.75" header="0.3" footer="0.3"/>
      <autoFilter ref="B11:R115" xr:uid="{E1BA1724-3557-4101-8A01-4E9529DF9C4C}"/>
    </customSheetView>
  </customSheetViews>
  <phoneticPr fontId="19" type="noConversion"/>
  <pageMargins left="0.78749999999999998" right="0.78749999999999998" top="1.05277777777778" bottom="1.05277777777778" header="0" footer="0"/>
  <pageSetup paperSize="9" orientation="portrait" r:id="rId1"/>
  <headerFooter>
    <oddHeader>&amp;C&amp;A</oddHeader>
    <oddFooter xml:space="preserve">&amp;CPage &amp;P&amp;LFrei verwendbar </oddFooter>
    <evenFooter xml:space="preserve">&amp;LFrei verwendbar </evenFooter>
    <firstFooter xml:space="preserve">&amp;LFrei verwendbar </firstFooter>
  </headerFooter>
  <extLst>
    <ext xmlns:x14="http://schemas.microsoft.com/office/spreadsheetml/2009/9/main" uri="{CCE6A557-97BC-4b89-ADB6-D9C93CAAB3DF}">
      <x14:dataValidations xmlns:xm="http://schemas.microsoft.com/office/excel/2006/main" count="4">
        <x14:dataValidation type="list" allowBlank="1" showInputMessage="1" showErrorMessage="1" xr:uid="{1916794A-4AD5-413A-9DC7-AC5279E18A7F}">
          <x14:formula1>
            <xm:f>fields!$A$2:$A$6</xm:f>
          </x14:formula1>
          <xm:sqref>B203:B1048576 B162:B168 B2:B112</xm:sqref>
        </x14:dataValidation>
        <x14:dataValidation type="list" allowBlank="1" xr:uid="{1AB0A8BB-3ACD-4C93-AD58-769217CCBCB4}">
          <x14:formula1>
            <xm:f>fields!$B$2:$B$8</xm:f>
          </x14:formula1>
          <xm:sqref>C203:C1048576 C159:C188 C2:C112</xm:sqref>
        </x14:dataValidation>
        <x14:dataValidation type="list" allowBlank="1" showInputMessage="1" showErrorMessage="1" xr:uid="{001A1628-50D5-4F35-9B92-A3E5DF0A47E2}">
          <x14:formula1>
            <xm:f>fields!$D$2:$D$3</xm:f>
          </x14:formula1>
          <xm:sqref>F171 H2:H1048576</xm:sqref>
        </x14:dataValidation>
        <x14:dataValidation type="list" allowBlank="1" showInputMessage="1" showErrorMessage="1" xr:uid="{698A547C-F63F-4D5C-A00B-AAFC135596B3}">
          <x14:formula1>
            <xm:f>fields!$C$2:$C$3</xm:f>
          </x14:formula1>
          <xm:sqref>A2:A1048576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9E64B-32B5-4716-82A9-2EC13DAB1743}">
  <dimension ref="A1:D8"/>
  <sheetViews>
    <sheetView workbookViewId="0">
      <selection activeCell="D3" sqref="D3"/>
    </sheetView>
  </sheetViews>
  <sheetFormatPr baseColWidth="10" defaultColWidth="11.5546875" defaultRowHeight="13.2" x14ac:dyDescent="0.25"/>
  <cols>
    <col min="1" max="1" width="12.6640625" bestFit="1" customWidth="1"/>
  </cols>
  <sheetData>
    <row r="1" spans="1:4" s="38" customFormat="1" ht="66" x14ac:dyDescent="0.25">
      <c r="A1" s="37" t="s">
        <v>10</v>
      </c>
      <c r="B1" s="37" t="s">
        <v>0</v>
      </c>
      <c r="C1" s="37" t="s">
        <v>9</v>
      </c>
      <c r="D1" s="37" t="s">
        <v>374</v>
      </c>
    </row>
    <row r="2" spans="1:4" x14ac:dyDescent="0.25">
      <c r="A2" t="s">
        <v>1</v>
      </c>
      <c r="B2" t="s">
        <v>8</v>
      </c>
      <c r="C2" t="s">
        <v>26</v>
      </c>
      <c r="D2" t="s">
        <v>375</v>
      </c>
    </row>
    <row r="3" spans="1:4" x14ac:dyDescent="0.25">
      <c r="A3" t="s">
        <v>5</v>
      </c>
      <c r="B3" t="s">
        <v>6</v>
      </c>
      <c r="C3" t="s">
        <v>16</v>
      </c>
      <c r="D3" t="s">
        <v>376</v>
      </c>
    </row>
    <row r="4" spans="1:4" x14ac:dyDescent="0.25">
      <c r="A4" t="s">
        <v>372</v>
      </c>
      <c r="B4" t="s">
        <v>378</v>
      </c>
    </row>
    <row r="5" spans="1:4" x14ac:dyDescent="0.25">
      <c r="A5" t="s">
        <v>373</v>
      </c>
      <c r="B5" t="s">
        <v>2</v>
      </c>
    </row>
    <row r="6" spans="1:4" x14ac:dyDescent="0.25">
      <c r="A6" t="s">
        <v>3</v>
      </c>
      <c r="B6" t="s">
        <v>4</v>
      </c>
    </row>
    <row r="7" spans="1:4" x14ac:dyDescent="0.25">
      <c r="B7" t="s">
        <v>377</v>
      </c>
    </row>
    <row r="8" spans="1:4" x14ac:dyDescent="0.25">
      <c r="B8" t="s">
        <v>7</v>
      </c>
    </row>
  </sheetData>
  <sortState xmlns:xlrd2="http://schemas.microsoft.com/office/spreadsheetml/2017/richdata2" ref="B2:B8">
    <sortCondition ref="B2:B8"/>
  </sortState>
  <pageMargins left="0.7" right="0.7" top="0.75" bottom="0.75" header="0.3" footer="0.3"/>
  <pageSetup paperSize="9" orientation="portrait" r:id="rId1"/>
</worksheet>
</file>

<file path=docMetadata/LabelInfo.xml><?xml version="1.0" encoding="utf-8"?>
<clbl:labelList xmlns:clbl="http://schemas.microsoft.com/office/2020/mipLabelMetadata">
  <clbl:label id="{2d26f538-337a-4593-a7e6-123667b1a538}" enabled="1" method="Standard" siteId="{e242425b-70fc-44dc-9ddf-c21e304e6c80}"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4</vt:i4>
      </vt:variant>
      <vt:variant>
        <vt:lpstr>Plages nommées</vt:lpstr>
      </vt:variant>
      <vt:variant>
        <vt:i4>1</vt:i4>
      </vt:variant>
    </vt:vector>
  </HeadingPairs>
  <TitlesOfParts>
    <vt:vector size="5" baseType="lpstr">
      <vt:lpstr>About DTTM-BP</vt:lpstr>
      <vt:lpstr>TTS description</vt:lpstr>
      <vt:lpstr>TTS parameters</vt:lpstr>
      <vt:lpstr>fields</vt:lpstr>
      <vt:lpstr>'TTS parameters'!DTTM_TTS_definitions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keywords>C_Unrestricted</cp:keywords>
  <cp:lastModifiedBy>DESQUIENS Remi</cp:lastModifiedBy>
  <dcterms:modified xsi:type="dcterms:W3CDTF">2026-02-09T13:06:09Z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ument Confidentiality">
    <vt:lpwstr>Unrestricted</vt:lpwstr>
  </property>
  <property fmtid="{D5CDD505-2E9C-101B-9397-08002B2CF9AE}" pid="3" name="Document_Confidentiality">
    <vt:lpwstr>Unrestricted</vt:lpwstr>
  </property>
  <property fmtid="{D5CDD505-2E9C-101B-9397-08002B2CF9AE}" pid="4" name="sodocoClasLang">
    <vt:lpwstr>Frei verwendbar</vt:lpwstr>
  </property>
  <property fmtid="{D5CDD505-2E9C-101B-9397-08002B2CF9AE}" pid="5" name="sodocoClasLangId">
    <vt:i4>0</vt:i4>
  </property>
  <property fmtid="{D5CDD505-2E9C-101B-9397-08002B2CF9AE}" pid="6" name="sodocoClasId">
    <vt:i4>0</vt:i4>
  </property>
  <property fmtid="{D5CDD505-2E9C-101B-9397-08002B2CF9AE}" pid="7" name="MSIP_Label_2d26f538-337a-4593-a7e6-123667b1a538_Enabled">
    <vt:lpwstr>true</vt:lpwstr>
  </property>
  <property fmtid="{D5CDD505-2E9C-101B-9397-08002B2CF9AE}" pid="8" name="MSIP_Label_2d26f538-337a-4593-a7e6-123667b1a538_SetDate">
    <vt:lpwstr>2022-08-10T07:10:01Z</vt:lpwstr>
  </property>
  <property fmtid="{D5CDD505-2E9C-101B-9397-08002B2CF9AE}" pid="9" name="MSIP_Label_2d26f538-337a-4593-a7e6-123667b1a538_Method">
    <vt:lpwstr>Standard</vt:lpwstr>
  </property>
  <property fmtid="{D5CDD505-2E9C-101B-9397-08002B2CF9AE}" pid="10" name="MSIP_Label_2d26f538-337a-4593-a7e6-123667b1a538_Name">
    <vt:lpwstr>C1 Interne</vt:lpwstr>
  </property>
  <property fmtid="{D5CDD505-2E9C-101B-9397-08002B2CF9AE}" pid="11" name="MSIP_Label_2d26f538-337a-4593-a7e6-123667b1a538_SiteId">
    <vt:lpwstr>e242425b-70fc-44dc-9ddf-c21e304e6c80</vt:lpwstr>
  </property>
  <property fmtid="{D5CDD505-2E9C-101B-9397-08002B2CF9AE}" pid="12" name="MSIP_Label_2d26f538-337a-4593-a7e6-123667b1a538_ActionId">
    <vt:lpwstr>db8b3bab-3744-47db-b8ce-065d2687a07a</vt:lpwstr>
  </property>
  <property fmtid="{D5CDD505-2E9C-101B-9397-08002B2CF9AE}" pid="13" name="MSIP_Label_2d26f538-337a-4593-a7e6-123667b1a538_ContentBits">
    <vt:lpwstr>0</vt:lpwstr>
  </property>
</Properties>
</file>